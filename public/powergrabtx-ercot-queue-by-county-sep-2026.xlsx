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</sheets>
  <definedNames>
    <definedName name="_xlnm._FilterDatabase" localSheetId="0" hidden="1">'Counties'!$A$1:$F$193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Rank</t>
        </is>
      </c>
      <c r="B1" s="1" t="inlineStr">
        <is>
          <t>County</t>
        </is>
      </c>
      <c r="C1" s="1" t="inlineStr">
        <is>
          <t>Projects</t>
        </is>
      </c>
      <c r="D1" s="1" t="inlineStr">
        <is>
          <t>Total MW</t>
        </is>
      </c>
      <c r="E1" s="1" t="inlineStr">
        <is>
          <t>Total GW</t>
        </is>
      </c>
      <c r="F1" s="1" t="inlineStr">
        <is>
          <t>Dominant fuel</t>
        </is>
      </c>
    </row>
    <row r="2">
      <c r="A2" t="n">
        <v>1</v>
      </c>
      <c r="B2" t="inlineStr">
        <is>
          <t>Pecos County</t>
        </is>
      </c>
      <c r="C2" s="2" t="n">
        <v>56</v>
      </c>
      <c r="D2" s="3" t="n">
        <v>21363.7</v>
      </c>
      <c r="E2" s="4">
        <f>D2/1000</f>
        <v/>
      </c>
      <c r="F2" t="inlineStr">
        <is>
          <t>Solar</t>
        </is>
      </c>
    </row>
    <row r="3">
      <c r="A3" t="n">
        <v>2</v>
      </c>
      <c r="B3" t="inlineStr">
        <is>
          <t>Brazoria County</t>
        </is>
      </c>
      <c r="C3" s="2" t="n">
        <v>53</v>
      </c>
      <c r="D3" s="3" t="n">
        <v>11461.5</v>
      </c>
      <c r="E3" s="4">
        <f>D3/1000</f>
        <v/>
      </c>
      <c r="F3" t="inlineStr">
        <is>
          <t>Battery</t>
        </is>
      </c>
    </row>
    <row r="4">
      <c r="A4" t="n">
        <v>3</v>
      </c>
      <c r="B4" t="inlineStr">
        <is>
          <t>Wharton County</t>
        </is>
      </c>
      <c r="C4" s="2" t="n">
        <v>40</v>
      </c>
      <c r="D4" s="3" t="n">
        <v>8605.700000000001</v>
      </c>
      <c r="E4" s="4">
        <f>D4/1000</f>
        <v/>
      </c>
      <c r="F4" t="inlineStr">
        <is>
          <t>Solar</t>
        </is>
      </c>
    </row>
    <row r="5">
      <c r="A5" t="n">
        <v>4</v>
      </c>
      <c r="B5" t="inlineStr">
        <is>
          <t>Wilbarger County</t>
        </is>
      </c>
      <c r="C5" s="2" t="n">
        <v>21</v>
      </c>
      <c r="D5" s="3" t="n">
        <v>8506.4</v>
      </c>
      <c r="E5" s="4">
        <f>D5/1000</f>
        <v/>
      </c>
      <c r="F5" t="inlineStr">
        <is>
          <t>Gas</t>
        </is>
      </c>
    </row>
    <row r="6">
      <c r="A6" t="n">
        <v>5</v>
      </c>
      <c r="B6" t="inlineStr">
        <is>
          <t>Reeves County</t>
        </is>
      </c>
      <c r="C6" s="2" t="n">
        <v>22</v>
      </c>
      <c r="D6" s="3" t="n">
        <v>8329.700000000001</v>
      </c>
      <c r="E6" s="4">
        <f>D6/1000</f>
        <v/>
      </c>
      <c r="F6" t="inlineStr">
        <is>
          <t>Gas</t>
        </is>
      </c>
    </row>
    <row r="7">
      <c r="A7" t="n">
        <v>6</v>
      </c>
      <c r="B7" t="inlineStr">
        <is>
          <t>Milam County</t>
        </is>
      </c>
      <c r="C7" s="2" t="n">
        <v>29</v>
      </c>
      <c r="D7" s="3" t="n">
        <v>8290.299999999999</v>
      </c>
      <c r="E7" s="4">
        <f>D7/1000</f>
        <v/>
      </c>
      <c r="F7" t="inlineStr">
        <is>
          <t>Solar</t>
        </is>
      </c>
    </row>
    <row r="8">
      <c r="A8" t="n">
        <v>7</v>
      </c>
      <c r="B8" t="inlineStr">
        <is>
          <t>Jack County</t>
        </is>
      </c>
      <c r="C8" s="2" t="n">
        <v>17</v>
      </c>
      <c r="D8" s="3" t="n">
        <v>7978</v>
      </c>
      <c r="E8" s="4">
        <f>D8/1000</f>
        <v/>
      </c>
      <c r="F8" t="inlineStr">
        <is>
          <t>Battery</t>
        </is>
      </c>
    </row>
    <row r="9">
      <c r="A9" t="n">
        <v>8</v>
      </c>
      <c r="B9" t="inlineStr">
        <is>
          <t>Hill County</t>
        </is>
      </c>
      <c r="C9" s="2" t="n">
        <v>22</v>
      </c>
      <c r="D9" s="3" t="n">
        <v>7762.8</v>
      </c>
      <c r="E9" s="4">
        <f>D9/1000</f>
        <v/>
      </c>
      <c r="F9" t="inlineStr">
        <is>
          <t>Gas</t>
        </is>
      </c>
    </row>
    <row r="10">
      <c r="A10" t="n">
        <v>9</v>
      </c>
      <c r="B10" t="inlineStr">
        <is>
          <t>Harris County</t>
        </is>
      </c>
      <c r="C10" s="2" t="n">
        <v>31</v>
      </c>
      <c r="D10" s="3" t="n">
        <v>6823.5</v>
      </c>
      <c r="E10" s="4">
        <f>D10/1000</f>
        <v/>
      </c>
      <c r="F10" t="inlineStr">
        <is>
          <t>Battery</t>
        </is>
      </c>
    </row>
    <row r="11">
      <c r="A11" t="n">
        <v>10</v>
      </c>
      <c r="B11" t="inlineStr">
        <is>
          <t>Mitchell County</t>
        </is>
      </c>
      <c r="C11" s="2" t="n">
        <v>15</v>
      </c>
      <c r="D11" s="3" t="n">
        <v>6791.4</v>
      </c>
      <c r="E11" s="4">
        <f>D11/1000</f>
        <v/>
      </c>
      <c r="F11" t="inlineStr">
        <is>
          <t>Battery</t>
        </is>
      </c>
    </row>
    <row r="12">
      <c r="A12" t="n">
        <v>11</v>
      </c>
      <c r="B12" t="inlineStr">
        <is>
          <t>San Patricio County</t>
        </is>
      </c>
      <c r="C12" s="2" t="n">
        <v>26</v>
      </c>
      <c r="D12" s="3" t="n">
        <v>6650.2</v>
      </c>
      <c r="E12" s="4">
        <f>D12/1000</f>
        <v/>
      </c>
      <c r="F12" t="inlineStr">
        <is>
          <t>Battery</t>
        </is>
      </c>
    </row>
    <row r="13">
      <c r="A13" t="n">
        <v>12</v>
      </c>
      <c r="B13" t="inlineStr">
        <is>
          <t>Deaf Smith County</t>
        </is>
      </c>
      <c r="C13" s="2" t="n">
        <v>11</v>
      </c>
      <c r="D13" s="3" t="n">
        <v>6386.6</v>
      </c>
      <c r="E13" s="4">
        <f>D13/1000</f>
        <v/>
      </c>
      <c r="F13" t="inlineStr">
        <is>
          <t>Solar</t>
        </is>
      </c>
    </row>
    <row r="14">
      <c r="A14" t="n">
        <v>13</v>
      </c>
      <c r="B14" t="inlineStr">
        <is>
          <t>Fisher County</t>
        </is>
      </c>
      <c r="C14" s="2" t="n">
        <v>13</v>
      </c>
      <c r="D14" s="3" t="n">
        <v>6384</v>
      </c>
      <c r="E14" s="4">
        <f>D14/1000</f>
        <v/>
      </c>
      <c r="F14" t="inlineStr">
        <is>
          <t>Gas</t>
        </is>
      </c>
    </row>
    <row r="15">
      <c r="A15" t="n">
        <v>14</v>
      </c>
      <c r="B15" t="inlineStr">
        <is>
          <t>Zapata County</t>
        </is>
      </c>
      <c r="C15" s="2" t="n">
        <v>27</v>
      </c>
      <c r="D15" s="3" t="n">
        <v>6290.7</v>
      </c>
      <c r="E15" s="4">
        <f>D15/1000</f>
        <v/>
      </c>
      <c r="F15" t="inlineStr">
        <is>
          <t>Solar</t>
        </is>
      </c>
    </row>
    <row r="16">
      <c r="A16" t="n">
        <v>15</v>
      </c>
      <c r="B16" t="inlineStr">
        <is>
          <t>Lamar County</t>
        </is>
      </c>
      <c r="C16" s="2" t="n">
        <v>24</v>
      </c>
      <c r="D16" s="3" t="n">
        <v>6054.3</v>
      </c>
      <c r="E16" s="4">
        <f>D16/1000</f>
        <v/>
      </c>
      <c r="F16" t="inlineStr">
        <is>
          <t>Solar</t>
        </is>
      </c>
    </row>
    <row r="17">
      <c r="A17" t="n">
        <v>16</v>
      </c>
      <c r="B17" t="inlineStr">
        <is>
          <t>Ellis County</t>
        </is>
      </c>
      <c r="C17" s="2" t="n">
        <v>27</v>
      </c>
      <c r="D17" s="3" t="n">
        <v>5887.2</v>
      </c>
      <c r="E17" s="4">
        <f>D17/1000</f>
        <v/>
      </c>
      <c r="F17" t="inlineStr">
        <is>
          <t>Battery</t>
        </is>
      </c>
    </row>
    <row r="18">
      <c r="A18" t="n">
        <v>17</v>
      </c>
      <c r="B18" t="inlineStr">
        <is>
          <t>Cameron County</t>
        </is>
      </c>
      <c r="C18" s="2" t="n">
        <v>25</v>
      </c>
      <c r="D18" s="3" t="n">
        <v>5756</v>
      </c>
      <c r="E18" s="4">
        <f>D18/1000</f>
        <v/>
      </c>
      <c r="F18" t="inlineStr">
        <is>
          <t>Battery</t>
        </is>
      </c>
    </row>
    <row r="19">
      <c r="A19" t="n">
        <v>18</v>
      </c>
      <c r="B19" t="inlineStr">
        <is>
          <t>Upton County</t>
        </is>
      </c>
      <c r="C19" s="2" t="n">
        <v>18</v>
      </c>
      <c r="D19" s="3" t="n">
        <v>5611.8</v>
      </c>
      <c r="E19" s="4">
        <f>D19/1000</f>
        <v/>
      </c>
      <c r="F19" t="inlineStr">
        <is>
          <t>Solar</t>
        </is>
      </c>
    </row>
    <row r="20">
      <c r="A20" t="n">
        <v>19</v>
      </c>
      <c r="B20" t="inlineStr">
        <is>
          <t>Matagorda County</t>
        </is>
      </c>
      <c r="C20" s="2" t="n">
        <v>22</v>
      </c>
      <c r="D20" s="3" t="n">
        <v>5563.9</v>
      </c>
      <c r="E20" s="4">
        <f>D20/1000</f>
        <v/>
      </c>
      <c r="F20" t="inlineStr">
        <is>
          <t>Solar</t>
        </is>
      </c>
    </row>
    <row r="21">
      <c r="A21" t="n">
        <v>20</v>
      </c>
      <c r="B21" t="inlineStr">
        <is>
          <t>Victoria County</t>
        </is>
      </c>
      <c r="C21" s="2" t="n">
        <v>18</v>
      </c>
      <c r="D21" s="3" t="n">
        <v>5412.2</v>
      </c>
      <c r="E21" s="4">
        <f>D21/1000</f>
        <v/>
      </c>
      <c r="F21" t="inlineStr">
        <is>
          <t>Battery</t>
        </is>
      </c>
    </row>
    <row r="22">
      <c r="A22" t="n">
        <v>21</v>
      </c>
      <c r="B22" t="inlineStr">
        <is>
          <t>Freestone County</t>
        </is>
      </c>
      <c r="C22" s="2" t="n">
        <v>22</v>
      </c>
      <c r="D22" s="3" t="n">
        <v>5356.5</v>
      </c>
      <c r="E22" s="4">
        <f>D22/1000</f>
        <v/>
      </c>
      <c r="F22" t="inlineStr">
        <is>
          <t>Gas</t>
        </is>
      </c>
    </row>
    <row r="23">
      <c r="A23" t="n">
        <v>22</v>
      </c>
      <c r="B23" t="inlineStr">
        <is>
          <t>Borden County</t>
        </is>
      </c>
      <c r="C23" s="2" t="n">
        <v>17</v>
      </c>
      <c r="D23" s="3" t="n">
        <v>5256.6</v>
      </c>
      <c r="E23" s="4">
        <f>D23/1000</f>
        <v/>
      </c>
      <c r="F23" t="inlineStr">
        <is>
          <t>Solar</t>
        </is>
      </c>
    </row>
    <row r="24">
      <c r="A24" t="n">
        <v>23</v>
      </c>
      <c r="B24" t="inlineStr">
        <is>
          <t>Bexar County</t>
        </is>
      </c>
      <c r="C24" s="2" t="n">
        <v>22</v>
      </c>
      <c r="D24" s="3" t="n">
        <v>5159.6</v>
      </c>
      <c r="E24" s="4">
        <f>D24/1000</f>
        <v/>
      </c>
      <c r="F24" t="inlineStr">
        <is>
          <t>Battery</t>
        </is>
      </c>
    </row>
    <row r="25">
      <c r="A25" t="n">
        <v>24</v>
      </c>
      <c r="B25" t="inlineStr">
        <is>
          <t>Grimes County</t>
        </is>
      </c>
      <c r="C25" s="2" t="n">
        <v>18</v>
      </c>
      <c r="D25" s="3" t="n">
        <v>5139.9</v>
      </c>
      <c r="E25" s="4">
        <f>D25/1000</f>
        <v/>
      </c>
      <c r="F25" t="inlineStr">
        <is>
          <t>Battery</t>
        </is>
      </c>
    </row>
    <row r="26">
      <c r="A26" t="n">
        <v>25</v>
      </c>
      <c r="B26" t="inlineStr">
        <is>
          <t>Scurry County</t>
        </is>
      </c>
      <c r="C26" s="2" t="n">
        <v>16</v>
      </c>
      <c r="D26" s="3" t="n">
        <v>5047.8</v>
      </c>
      <c r="E26" s="4">
        <f>D26/1000</f>
        <v/>
      </c>
      <c r="F26" t="inlineStr">
        <is>
          <t>Solar</t>
        </is>
      </c>
    </row>
    <row r="27">
      <c r="A27" t="n">
        <v>26</v>
      </c>
      <c r="B27" t="inlineStr">
        <is>
          <t>Bastrop County</t>
        </is>
      </c>
      <c r="C27" s="2" t="n">
        <v>12</v>
      </c>
      <c r="D27" s="3" t="n">
        <v>4814.9</v>
      </c>
      <c r="E27" s="4">
        <f>D27/1000</f>
        <v/>
      </c>
      <c r="F27" t="inlineStr">
        <is>
          <t>Gas</t>
        </is>
      </c>
    </row>
    <row r="28">
      <c r="A28" t="n">
        <v>27</v>
      </c>
      <c r="B28" t="inlineStr">
        <is>
          <t>Anderson County</t>
        </is>
      </c>
      <c r="C28" s="2" t="n">
        <v>9</v>
      </c>
      <c r="D28" s="3" t="n">
        <v>4644.8</v>
      </c>
      <c r="E28" s="4">
        <f>D28/1000</f>
        <v/>
      </c>
      <c r="F28" t="inlineStr">
        <is>
          <t>Gas</t>
        </is>
      </c>
    </row>
    <row r="29">
      <c r="A29" t="n">
        <v>28</v>
      </c>
      <c r="B29" t="inlineStr">
        <is>
          <t>Caldwell County</t>
        </is>
      </c>
      <c r="C29" s="2" t="n">
        <v>16</v>
      </c>
      <c r="D29" s="3" t="n">
        <v>4517.6</v>
      </c>
      <c r="E29" s="4">
        <f>D29/1000</f>
        <v/>
      </c>
      <c r="F29" t="inlineStr">
        <is>
          <t>Gas</t>
        </is>
      </c>
    </row>
    <row r="30">
      <c r="A30" t="n">
        <v>29</v>
      </c>
      <c r="B30" t="inlineStr">
        <is>
          <t>Starr County</t>
        </is>
      </c>
      <c r="C30" s="2" t="n">
        <v>21</v>
      </c>
      <c r="D30" s="3" t="n">
        <v>4511.3</v>
      </c>
      <c r="E30" s="4">
        <f>D30/1000</f>
        <v/>
      </c>
      <c r="F30" t="inlineStr">
        <is>
          <t>Solar</t>
        </is>
      </c>
    </row>
    <row r="31">
      <c r="A31" t="n">
        <v>30</v>
      </c>
      <c r="B31" t="inlineStr">
        <is>
          <t>Nolan County</t>
        </is>
      </c>
      <c r="C31" s="2" t="n">
        <v>18</v>
      </c>
      <c r="D31" s="3" t="n">
        <v>4441</v>
      </c>
      <c r="E31" s="4">
        <f>D31/1000</f>
        <v/>
      </c>
      <c r="F31" t="inlineStr">
        <is>
          <t>Solar</t>
        </is>
      </c>
    </row>
    <row r="32">
      <c r="A32" t="n">
        <v>31</v>
      </c>
      <c r="B32" t="inlineStr">
        <is>
          <t>Webb County</t>
        </is>
      </c>
      <c r="C32" s="2" t="n">
        <v>18</v>
      </c>
      <c r="D32" s="3" t="n">
        <v>4261</v>
      </c>
      <c r="E32" s="4">
        <f>D32/1000</f>
        <v/>
      </c>
      <c r="F32" t="inlineStr">
        <is>
          <t>Solar</t>
        </is>
      </c>
    </row>
    <row r="33">
      <c r="A33" t="n">
        <v>32</v>
      </c>
      <c r="B33" t="inlineStr">
        <is>
          <t>Navarro County</t>
        </is>
      </c>
      <c r="C33" s="2" t="n">
        <v>26</v>
      </c>
      <c r="D33" s="3" t="n">
        <v>4254.6</v>
      </c>
      <c r="E33" s="4">
        <f>D33/1000</f>
        <v/>
      </c>
      <c r="F33" t="inlineStr">
        <is>
          <t>Solar</t>
        </is>
      </c>
    </row>
    <row r="34">
      <c r="A34" t="n">
        <v>33</v>
      </c>
      <c r="B34" t="inlineStr">
        <is>
          <t>Leon County</t>
        </is>
      </c>
      <c r="C34" s="2" t="n">
        <v>11</v>
      </c>
      <c r="D34" s="3" t="n">
        <v>4106.3</v>
      </c>
      <c r="E34" s="4">
        <f>D34/1000</f>
        <v/>
      </c>
      <c r="F34" t="inlineStr">
        <is>
          <t>Gas</t>
        </is>
      </c>
    </row>
    <row r="35">
      <c r="A35" t="n">
        <v>34</v>
      </c>
      <c r="B35" t="inlineStr">
        <is>
          <t>Guadalupe County</t>
        </is>
      </c>
      <c r="C35" s="2" t="n">
        <v>14</v>
      </c>
      <c r="D35" s="3" t="n">
        <v>4055.1</v>
      </c>
      <c r="E35" s="4">
        <f>D35/1000</f>
        <v/>
      </c>
      <c r="F35" t="inlineStr">
        <is>
          <t>Gas</t>
        </is>
      </c>
    </row>
    <row r="36">
      <c r="A36" t="n">
        <v>35</v>
      </c>
      <c r="B36" t="inlineStr">
        <is>
          <t>Ector County</t>
        </is>
      </c>
      <c r="C36" s="2" t="n">
        <v>20</v>
      </c>
      <c r="D36" s="3" t="n">
        <v>4044.8</v>
      </c>
      <c r="E36" s="4">
        <f>D36/1000</f>
        <v/>
      </c>
      <c r="F36" t="inlineStr">
        <is>
          <t>Solar</t>
        </is>
      </c>
    </row>
    <row r="37">
      <c r="A37" t="n">
        <v>36</v>
      </c>
      <c r="B37" t="inlineStr">
        <is>
          <t>Haskell County</t>
        </is>
      </c>
      <c r="C37" s="2" t="n">
        <v>17</v>
      </c>
      <c r="D37" s="3" t="n">
        <v>3976</v>
      </c>
      <c r="E37" s="4">
        <f>D37/1000</f>
        <v/>
      </c>
      <c r="F37" t="inlineStr">
        <is>
          <t>Solar</t>
        </is>
      </c>
    </row>
    <row r="38">
      <c r="A38" t="n">
        <v>37</v>
      </c>
      <c r="B38" t="inlineStr">
        <is>
          <t>Wise County</t>
        </is>
      </c>
      <c r="C38" s="2" t="n">
        <v>11</v>
      </c>
      <c r="D38" s="3" t="n">
        <v>3973.7</v>
      </c>
      <c r="E38" s="4">
        <f>D38/1000</f>
        <v/>
      </c>
      <c r="F38" t="inlineStr">
        <is>
          <t>Battery</t>
        </is>
      </c>
    </row>
    <row r="39">
      <c r="A39" t="n">
        <v>38</v>
      </c>
      <c r="B39" t="inlineStr">
        <is>
          <t>Robertson County</t>
        </is>
      </c>
      <c r="C39" s="2" t="n">
        <v>20</v>
      </c>
      <c r="D39" s="3" t="n">
        <v>3889.3</v>
      </c>
      <c r="E39" s="4">
        <f>D39/1000</f>
        <v/>
      </c>
      <c r="F39" t="inlineStr">
        <is>
          <t>Battery</t>
        </is>
      </c>
    </row>
    <row r="40">
      <c r="A40" t="n">
        <v>39</v>
      </c>
      <c r="B40" t="inlineStr">
        <is>
          <t>Jones County</t>
        </is>
      </c>
      <c r="C40" s="2" t="n">
        <v>14</v>
      </c>
      <c r="D40" s="3" t="n">
        <v>3772.1</v>
      </c>
      <c r="E40" s="4">
        <f>D40/1000</f>
        <v/>
      </c>
      <c r="F40" t="inlineStr">
        <is>
          <t>Solar</t>
        </is>
      </c>
    </row>
    <row r="41">
      <c r="A41" t="n">
        <v>40</v>
      </c>
      <c r="B41" t="inlineStr">
        <is>
          <t>Austin County</t>
        </is>
      </c>
      <c r="C41" s="2" t="n">
        <v>13</v>
      </c>
      <c r="D41" s="3" t="n">
        <v>3719.3</v>
      </c>
      <c r="E41" s="4">
        <f>D41/1000</f>
        <v/>
      </c>
      <c r="F41" t="inlineStr">
        <is>
          <t>Battery</t>
        </is>
      </c>
    </row>
    <row r="42">
      <c r="A42" t="n">
        <v>41</v>
      </c>
      <c r="B42" t="inlineStr">
        <is>
          <t>Duval County</t>
        </is>
      </c>
      <c r="C42" s="2" t="n">
        <v>14</v>
      </c>
      <c r="D42" s="3" t="n">
        <v>3653.1</v>
      </c>
      <c r="E42" s="4">
        <f>D42/1000</f>
        <v/>
      </c>
      <c r="F42" t="inlineStr">
        <is>
          <t>Solar</t>
        </is>
      </c>
    </row>
    <row r="43">
      <c r="A43" t="n">
        <v>42</v>
      </c>
      <c r="B43" t="inlineStr">
        <is>
          <t>Wilson County</t>
        </is>
      </c>
      <c r="C43" s="2" t="n">
        <v>15</v>
      </c>
      <c r="D43" s="3" t="n">
        <v>3532.7</v>
      </c>
      <c r="E43" s="4">
        <f>D43/1000</f>
        <v/>
      </c>
      <c r="F43" t="inlineStr">
        <is>
          <t>Solar</t>
        </is>
      </c>
    </row>
    <row r="44">
      <c r="A44" t="n">
        <v>43</v>
      </c>
      <c r="B44" t="inlineStr">
        <is>
          <t>Taylor County</t>
        </is>
      </c>
      <c r="C44" s="2" t="n">
        <v>14</v>
      </c>
      <c r="D44" s="3" t="n">
        <v>3484.8</v>
      </c>
      <c r="E44" s="4">
        <f>D44/1000</f>
        <v/>
      </c>
      <c r="F44" t="inlineStr">
        <is>
          <t>Solar</t>
        </is>
      </c>
    </row>
    <row r="45">
      <c r="A45" t="n">
        <v>44</v>
      </c>
      <c r="B45" t="inlineStr">
        <is>
          <t>Hidalgo County</t>
        </is>
      </c>
      <c r="C45" s="2" t="n">
        <v>24</v>
      </c>
      <c r="D45" s="3" t="n">
        <v>3478</v>
      </c>
      <c r="E45" s="4">
        <f>D45/1000</f>
        <v/>
      </c>
      <c r="F45" t="inlineStr">
        <is>
          <t>Battery</t>
        </is>
      </c>
    </row>
    <row r="46">
      <c r="A46" t="n">
        <v>45</v>
      </c>
      <c r="B46" t="inlineStr">
        <is>
          <t>Ward County</t>
        </is>
      </c>
      <c r="C46" s="2" t="n">
        <v>12</v>
      </c>
      <c r="D46" s="3" t="n">
        <v>3418.6</v>
      </c>
      <c r="E46" s="4">
        <f>D46/1000</f>
        <v/>
      </c>
      <c r="F46" t="inlineStr">
        <is>
          <t>Gas</t>
        </is>
      </c>
    </row>
    <row r="47">
      <c r="A47" t="n">
        <v>46</v>
      </c>
      <c r="B47" t="inlineStr">
        <is>
          <t>Glasscock County</t>
        </is>
      </c>
      <c r="C47" s="2" t="n">
        <v>18</v>
      </c>
      <c r="D47" s="3" t="n">
        <v>3408.9</v>
      </c>
      <c r="E47" s="4">
        <f>D47/1000</f>
        <v/>
      </c>
      <c r="F47" t="inlineStr">
        <is>
          <t>Solar</t>
        </is>
      </c>
    </row>
    <row r="48">
      <c r="A48" t="n">
        <v>47</v>
      </c>
      <c r="B48" t="inlineStr">
        <is>
          <t>McLennan County</t>
        </is>
      </c>
      <c r="C48" s="2" t="n">
        <v>18</v>
      </c>
      <c r="D48" s="3" t="n">
        <v>3383.5</v>
      </c>
      <c r="E48" s="4">
        <f>D48/1000</f>
        <v/>
      </c>
      <c r="F48" t="inlineStr">
        <is>
          <t>Battery</t>
        </is>
      </c>
    </row>
    <row r="49">
      <c r="A49" t="n">
        <v>48</v>
      </c>
      <c r="B49" t="inlineStr">
        <is>
          <t>Armstrong County</t>
        </is>
      </c>
      <c r="C49" s="2" t="n">
        <v>5</v>
      </c>
      <c r="D49" s="3" t="n">
        <v>3251.7</v>
      </c>
      <c r="E49" s="4">
        <f>D49/1000</f>
        <v/>
      </c>
      <c r="F49" t="inlineStr">
        <is>
          <t>Wind</t>
        </is>
      </c>
    </row>
    <row r="50">
      <c r="A50" t="n">
        <v>49</v>
      </c>
      <c r="B50" t="inlineStr">
        <is>
          <t>Bell County</t>
        </is>
      </c>
      <c r="C50" s="2" t="n">
        <v>13</v>
      </c>
      <c r="D50" s="3" t="n">
        <v>3097.5</v>
      </c>
      <c r="E50" s="4">
        <f>D50/1000</f>
        <v/>
      </c>
      <c r="F50" t="inlineStr">
        <is>
          <t>Battery</t>
        </is>
      </c>
    </row>
    <row r="51">
      <c r="A51" t="n">
        <v>50</v>
      </c>
      <c r="B51" t="inlineStr">
        <is>
          <t>Tom Green County</t>
        </is>
      </c>
      <c r="C51" s="2" t="n">
        <v>13</v>
      </c>
      <c r="D51" s="3" t="n">
        <v>3010.4</v>
      </c>
      <c r="E51" s="4">
        <f>D51/1000</f>
        <v/>
      </c>
      <c r="F51" t="inlineStr">
        <is>
          <t>Solar</t>
        </is>
      </c>
    </row>
    <row r="52">
      <c r="A52" t="n">
        <v>51</v>
      </c>
      <c r="B52" t="inlineStr">
        <is>
          <t>Jim Hogg County</t>
        </is>
      </c>
      <c r="C52" s="2" t="n">
        <v>9</v>
      </c>
      <c r="D52" s="3" t="n">
        <v>2933.4</v>
      </c>
      <c r="E52" s="4">
        <f>D52/1000</f>
        <v/>
      </c>
      <c r="F52" t="inlineStr">
        <is>
          <t>Wind</t>
        </is>
      </c>
    </row>
    <row r="53">
      <c r="A53" t="n">
        <v>52</v>
      </c>
      <c r="B53" t="inlineStr">
        <is>
          <t>Crane County</t>
        </is>
      </c>
      <c r="C53" s="2" t="n">
        <v>12</v>
      </c>
      <c r="D53" s="3" t="n">
        <v>2740.5</v>
      </c>
      <c r="E53" s="4">
        <f>D53/1000</f>
        <v/>
      </c>
      <c r="F53" t="inlineStr">
        <is>
          <t>Solar</t>
        </is>
      </c>
    </row>
    <row r="54">
      <c r="A54" t="n">
        <v>53</v>
      </c>
      <c r="B54" t="inlineStr">
        <is>
          <t>Galveston County</t>
        </is>
      </c>
      <c r="C54" s="2" t="n">
        <v>10</v>
      </c>
      <c r="D54" s="3" t="n">
        <v>2735.9</v>
      </c>
      <c r="E54" s="4">
        <f>D54/1000</f>
        <v/>
      </c>
      <c r="F54" t="inlineStr">
        <is>
          <t>Battery</t>
        </is>
      </c>
    </row>
    <row r="55">
      <c r="A55" t="n">
        <v>54</v>
      </c>
      <c r="B55" t="inlineStr">
        <is>
          <t>Concho County</t>
        </is>
      </c>
      <c r="C55" s="2" t="n">
        <v>9</v>
      </c>
      <c r="D55" s="3" t="n">
        <v>2656</v>
      </c>
      <c r="E55" s="4">
        <f>D55/1000</f>
        <v/>
      </c>
      <c r="F55" t="inlineStr">
        <is>
          <t>Solar</t>
        </is>
      </c>
    </row>
    <row r="56">
      <c r="A56" t="n">
        <v>55</v>
      </c>
      <c r="B56" t="inlineStr">
        <is>
          <t>Howard County</t>
        </is>
      </c>
      <c r="C56" s="2" t="n">
        <v>17</v>
      </c>
      <c r="D56" s="3" t="n">
        <v>2479.6</v>
      </c>
      <c r="E56" s="4">
        <f>D56/1000</f>
        <v/>
      </c>
      <c r="F56" t="inlineStr">
        <is>
          <t>Battery</t>
        </is>
      </c>
    </row>
    <row r="57">
      <c r="A57" t="n">
        <v>56</v>
      </c>
      <c r="B57" t="inlineStr">
        <is>
          <t>Briscoe County</t>
        </is>
      </c>
      <c r="C57" s="2" t="n">
        <v>5</v>
      </c>
      <c r="D57" s="3" t="n">
        <v>2459.8</v>
      </c>
      <c r="E57" s="4">
        <f>D57/1000</f>
        <v/>
      </c>
      <c r="F57" t="inlineStr">
        <is>
          <t>Solar</t>
        </is>
      </c>
    </row>
    <row r="58">
      <c r="A58" t="n">
        <v>57</v>
      </c>
      <c r="B58" t="inlineStr">
        <is>
          <t>Wichita County</t>
        </is>
      </c>
      <c r="C58" s="2" t="n">
        <v>12</v>
      </c>
      <c r="D58" s="3" t="n">
        <v>2448.5</v>
      </c>
      <c r="E58" s="4">
        <f>D58/1000</f>
        <v/>
      </c>
      <c r="F58" t="inlineStr">
        <is>
          <t>Battery</t>
        </is>
      </c>
    </row>
    <row r="59">
      <c r="A59" t="n">
        <v>58</v>
      </c>
      <c r="B59" t="inlineStr">
        <is>
          <t>Comanche County</t>
        </is>
      </c>
      <c r="C59" s="2" t="n">
        <v>8</v>
      </c>
      <c r="D59" s="3" t="n">
        <v>2445.6</v>
      </c>
      <c r="E59" s="4">
        <f>D59/1000</f>
        <v/>
      </c>
      <c r="F59" t="inlineStr">
        <is>
          <t>Battery</t>
        </is>
      </c>
    </row>
    <row r="60">
      <c r="A60" t="n">
        <v>59</v>
      </c>
      <c r="B60" t="inlineStr">
        <is>
          <t>Franklin County</t>
        </is>
      </c>
      <c r="C60" s="2" t="n">
        <v>7</v>
      </c>
      <c r="D60" s="3" t="n">
        <v>2374</v>
      </c>
      <c r="E60" s="4">
        <f>D60/1000</f>
        <v/>
      </c>
      <c r="F60" t="inlineStr">
        <is>
          <t>Gas</t>
        </is>
      </c>
    </row>
    <row r="61">
      <c r="A61" t="n">
        <v>60</v>
      </c>
      <c r="B61" t="inlineStr">
        <is>
          <t>Goliad County</t>
        </is>
      </c>
      <c r="C61" s="2" t="n">
        <v>12</v>
      </c>
      <c r="D61" s="3" t="n">
        <v>2366.4</v>
      </c>
      <c r="E61" s="4">
        <f>D61/1000</f>
        <v/>
      </c>
      <c r="F61" t="inlineStr">
        <is>
          <t>Solar</t>
        </is>
      </c>
    </row>
    <row r="62">
      <c r="A62" t="n">
        <v>61</v>
      </c>
      <c r="B62" t="inlineStr">
        <is>
          <t>Dickens County</t>
        </is>
      </c>
      <c r="C62" s="2" t="n">
        <v>9</v>
      </c>
      <c r="D62" s="3" t="n">
        <v>2316.9</v>
      </c>
      <c r="E62" s="4">
        <f>D62/1000</f>
        <v/>
      </c>
      <c r="F62" t="inlineStr">
        <is>
          <t>Solar</t>
        </is>
      </c>
    </row>
    <row r="63">
      <c r="A63" t="n">
        <v>62</v>
      </c>
      <c r="B63" t="inlineStr">
        <is>
          <t>Hale County</t>
        </is>
      </c>
      <c r="C63" s="2" t="n">
        <v>5</v>
      </c>
      <c r="D63" s="3" t="n">
        <v>2314.2</v>
      </c>
      <c r="E63" s="4">
        <f>D63/1000</f>
        <v/>
      </c>
      <c r="F63" t="inlineStr">
        <is>
          <t>Gas</t>
        </is>
      </c>
    </row>
    <row r="64">
      <c r="A64" t="n">
        <v>63</v>
      </c>
      <c r="B64" t="inlineStr">
        <is>
          <t>Castro County</t>
        </is>
      </c>
      <c r="C64" s="2" t="n">
        <v>7</v>
      </c>
      <c r="D64" s="3" t="n">
        <v>2303.6</v>
      </c>
      <c r="E64" s="4">
        <f>D64/1000</f>
        <v/>
      </c>
      <c r="F64" t="inlineStr">
        <is>
          <t>Solar</t>
        </is>
      </c>
    </row>
    <row r="65">
      <c r="A65" t="n">
        <v>64</v>
      </c>
      <c r="B65" t="inlineStr">
        <is>
          <t>Nueces County</t>
        </is>
      </c>
      <c r="C65" s="2" t="n">
        <v>13</v>
      </c>
      <c r="D65" s="3" t="n">
        <v>2276.6</v>
      </c>
      <c r="E65" s="4">
        <f>D65/1000</f>
        <v/>
      </c>
      <c r="F65" t="inlineStr">
        <is>
          <t>Battery</t>
        </is>
      </c>
    </row>
    <row r="66">
      <c r="A66" t="n">
        <v>65</v>
      </c>
      <c r="B66" t="inlineStr">
        <is>
          <t>Parker County</t>
        </is>
      </c>
      <c r="C66" s="2" t="n">
        <v>4</v>
      </c>
      <c r="D66" s="3" t="n">
        <v>2222.2</v>
      </c>
      <c r="E66" s="4">
        <f>D66/1000</f>
        <v/>
      </c>
      <c r="F66" t="inlineStr">
        <is>
          <t>Battery</t>
        </is>
      </c>
    </row>
    <row r="67">
      <c r="A67" t="n">
        <v>66</v>
      </c>
      <c r="B67" t="inlineStr">
        <is>
          <t>Hopkins County</t>
        </is>
      </c>
      <c r="C67" s="2" t="n">
        <v>13</v>
      </c>
      <c r="D67" s="3" t="n">
        <v>2219</v>
      </c>
      <c r="E67" s="4">
        <f>D67/1000</f>
        <v/>
      </c>
      <c r="F67" t="inlineStr">
        <is>
          <t>Solar</t>
        </is>
      </c>
    </row>
    <row r="68">
      <c r="A68" t="n">
        <v>67</v>
      </c>
      <c r="B68" t="inlineStr">
        <is>
          <t>Brown County</t>
        </is>
      </c>
      <c r="C68" s="2" t="n">
        <v>10</v>
      </c>
      <c r="D68" s="3" t="n">
        <v>2215.2</v>
      </c>
      <c r="E68" s="4">
        <f>D68/1000</f>
        <v/>
      </c>
      <c r="F68" t="inlineStr">
        <is>
          <t>Battery</t>
        </is>
      </c>
    </row>
    <row r="69">
      <c r="A69" t="n">
        <v>68</v>
      </c>
      <c r="B69" t="inlineStr">
        <is>
          <t>Andrews County</t>
        </is>
      </c>
      <c r="C69" s="2" t="n">
        <v>9</v>
      </c>
      <c r="D69" s="3" t="n">
        <v>2211.6</v>
      </c>
      <c r="E69" s="4">
        <f>D69/1000</f>
        <v/>
      </c>
      <c r="F69" t="inlineStr">
        <is>
          <t>Battery</t>
        </is>
      </c>
    </row>
    <row r="70">
      <c r="A70" t="n">
        <v>69</v>
      </c>
      <c r="B70" t="inlineStr">
        <is>
          <t>Hardeman County</t>
        </is>
      </c>
      <c r="C70" s="2" t="n">
        <v>8</v>
      </c>
      <c r="D70" s="3" t="n">
        <v>2193.8</v>
      </c>
      <c r="E70" s="4">
        <f>D70/1000</f>
        <v/>
      </c>
      <c r="F70" t="inlineStr">
        <is>
          <t>Solar</t>
        </is>
      </c>
    </row>
    <row r="71">
      <c r="A71" t="n">
        <v>70</v>
      </c>
      <c r="B71" t="inlineStr">
        <is>
          <t>Young County</t>
        </is>
      </c>
      <c r="C71" s="2" t="n">
        <v>8</v>
      </c>
      <c r="D71" s="3" t="n">
        <v>2177.5</v>
      </c>
      <c r="E71" s="4">
        <f>D71/1000</f>
        <v/>
      </c>
      <c r="F71" t="inlineStr">
        <is>
          <t>Battery</t>
        </is>
      </c>
    </row>
    <row r="72">
      <c r="A72" t="n">
        <v>71</v>
      </c>
      <c r="B72" t="inlineStr">
        <is>
          <t>Gray County</t>
        </is>
      </c>
      <c r="C72" s="2" t="n">
        <v>3</v>
      </c>
      <c r="D72" s="3" t="n">
        <v>2120.7</v>
      </c>
      <c r="E72" s="4">
        <f>D72/1000</f>
        <v/>
      </c>
      <c r="F72" t="inlineStr">
        <is>
          <t>Wind</t>
        </is>
      </c>
    </row>
    <row r="73">
      <c r="A73" t="n">
        <v>72</v>
      </c>
      <c r="B73" t="inlineStr">
        <is>
          <t>Kaufman County</t>
        </is>
      </c>
      <c r="C73" s="2" t="n">
        <v>16</v>
      </c>
      <c r="D73" s="3" t="n">
        <v>2075.3</v>
      </c>
      <c r="E73" s="4">
        <f>D73/1000</f>
        <v/>
      </c>
      <c r="F73" t="inlineStr">
        <is>
          <t>Solar</t>
        </is>
      </c>
    </row>
    <row r="74">
      <c r="A74" t="n">
        <v>73</v>
      </c>
      <c r="B74" t="inlineStr">
        <is>
          <t>Swisher County</t>
        </is>
      </c>
      <c r="C74" s="2" t="n">
        <v>7</v>
      </c>
      <c r="D74" s="3" t="n">
        <v>2048.9</v>
      </c>
      <c r="E74" s="4">
        <f>D74/1000</f>
        <v/>
      </c>
      <c r="F74" t="inlineStr">
        <is>
          <t>Solar</t>
        </is>
      </c>
    </row>
    <row r="75">
      <c r="A75" t="n">
        <v>74</v>
      </c>
      <c r="B75" t="inlineStr">
        <is>
          <t>Refugio County</t>
        </is>
      </c>
      <c r="C75" s="2" t="n">
        <v>4</v>
      </c>
      <c r="D75" s="3" t="n">
        <v>2034.3</v>
      </c>
      <c r="E75" s="4">
        <f>D75/1000</f>
        <v/>
      </c>
      <c r="F75" t="inlineStr">
        <is>
          <t>Solar</t>
        </is>
      </c>
    </row>
    <row r="76">
      <c r="A76" t="n">
        <v>75</v>
      </c>
      <c r="B76" t="inlineStr">
        <is>
          <t>Fort Bend County</t>
        </is>
      </c>
      <c r="C76" s="2" t="n">
        <v>10</v>
      </c>
      <c r="D76" s="3" t="n">
        <v>1997.9</v>
      </c>
      <c r="E76" s="4">
        <f>D76/1000</f>
        <v/>
      </c>
      <c r="F76" t="inlineStr">
        <is>
          <t>Battery</t>
        </is>
      </c>
    </row>
    <row r="77">
      <c r="A77" t="n">
        <v>76</v>
      </c>
      <c r="B77" t="inlineStr">
        <is>
          <t>Crockett County</t>
        </is>
      </c>
      <c r="C77" s="2" t="n">
        <v>9</v>
      </c>
      <c r="D77" s="3" t="n">
        <v>1944.6</v>
      </c>
      <c r="E77" s="4">
        <f>D77/1000</f>
        <v/>
      </c>
      <c r="F77" t="inlineStr">
        <is>
          <t>Battery</t>
        </is>
      </c>
    </row>
    <row r="78">
      <c r="A78" t="n">
        <v>77</v>
      </c>
      <c r="B78" t="inlineStr">
        <is>
          <t>Schleicher County</t>
        </is>
      </c>
      <c r="C78" s="2" t="n">
        <v>10</v>
      </c>
      <c r="D78" s="3" t="n">
        <v>1898.3</v>
      </c>
      <c r="E78" s="4">
        <f>D78/1000</f>
        <v/>
      </c>
      <c r="F78" t="inlineStr">
        <is>
          <t>Battery</t>
        </is>
      </c>
    </row>
    <row r="79">
      <c r="A79" t="n">
        <v>78</v>
      </c>
      <c r="B79" t="inlineStr">
        <is>
          <t>Baylor County</t>
        </is>
      </c>
      <c r="C79" s="2" t="n">
        <v>6</v>
      </c>
      <c r="D79" s="3" t="n">
        <v>1891</v>
      </c>
      <c r="E79" s="4">
        <f>D79/1000</f>
        <v/>
      </c>
      <c r="F79" t="inlineStr">
        <is>
          <t>Solar</t>
        </is>
      </c>
    </row>
    <row r="80">
      <c r="A80" t="n">
        <v>79</v>
      </c>
      <c r="B80" t="inlineStr">
        <is>
          <t>Karnes County</t>
        </is>
      </c>
      <c r="C80" s="2" t="n">
        <v>13</v>
      </c>
      <c r="D80" s="3" t="n">
        <v>1876.4</v>
      </c>
      <c r="E80" s="4">
        <f>D80/1000</f>
        <v/>
      </c>
      <c r="F80" t="inlineStr">
        <is>
          <t>Solar</t>
        </is>
      </c>
    </row>
    <row r="81">
      <c r="A81" t="n">
        <v>80</v>
      </c>
      <c r="B81" t="inlineStr">
        <is>
          <t>Clay County</t>
        </is>
      </c>
      <c r="C81" s="2" t="n">
        <v>4</v>
      </c>
      <c r="D81" s="3" t="n">
        <v>1866.5</v>
      </c>
      <c r="E81" s="4">
        <f>D81/1000</f>
        <v/>
      </c>
      <c r="F81" t="inlineStr">
        <is>
          <t>Solar</t>
        </is>
      </c>
    </row>
    <row r="82">
      <c r="A82" t="n">
        <v>81</v>
      </c>
      <c r="B82" t="inlineStr">
        <is>
          <t>Knox County</t>
        </is>
      </c>
      <c r="C82" s="2" t="n">
        <v>8</v>
      </c>
      <c r="D82" s="3" t="n">
        <v>1860.9</v>
      </c>
      <c r="E82" s="4">
        <f>D82/1000</f>
        <v/>
      </c>
      <c r="F82" t="inlineStr">
        <is>
          <t>Solar</t>
        </is>
      </c>
    </row>
    <row r="83">
      <c r="A83" t="n">
        <v>82</v>
      </c>
      <c r="B83" t="inlineStr">
        <is>
          <t>Bee County</t>
        </is>
      </c>
      <c r="C83" s="2" t="n">
        <v>12</v>
      </c>
      <c r="D83" s="3" t="n">
        <v>1839.3</v>
      </c>
      <c r="E83" s="4">
        <f>D83/1000</f>
        <v/>
      </c>
      <c r="F83" t="inlineStr">
        <is>
          <t>Solar</t>
        </is>
      </c>
    </row>
    <row r="84">
      <c r="A84" t="n">
        <v>83</v>
      </c>
      <c r="B84" t="inlineStr">
        <is>
          <t>Runnels County</t>
        </is>
      </c>
      <c r="C84" s="2" t="n">
        <v>8</v>
      </c>
      <c r="D84" s="3" t="n">
        <v>1803.1</v>
      </c>
      <c r="E84" s="4">
        <f>D84/1000</f>
        <v/>
      </c>
      <c r="F84" t="inlineStr">
        <is>
          <t>Solar</t>
        </is>
      </c>
    </row>
    <row r="85">
      <c r="A85" t="n">
        <v>84</v>
      </c>
      <c r="B85" t="inlineStr">
        <is>
          <t>Colorado County</t>
        </is>
      </c>
      <c r="C85" s="2" t="n">
        <v>12</v>
      </c>
      <c r="D85" s="3" t="n">
        <v>1764.3</v>
      </c>
      <c r="E85" s="4">
        <f>D85/1000</f>
        <v/>
      </c>
      <c r="F85" t="inlineStr">
        <is>
          <t>Battery</t>
        </is>
      </c>
    </row>
    <row r="86">
      <c r="A86" t="n">
        <v>85</v>
      </c>
      <c r="B86" t="inlineStr">
        <is>
          <t>Coleman County</t>
        </is>
      </c>
      <c r="C86" s="2" t="n">
        <v>7</v>
      </c>
      <c r="D86" s="3" t="n">
        <v>1746.7</v>
      </c>
      <c r="E86" s="4">
        <f>D86/1000</f>
        <v/>
      </c>
      <c r="F86" t="inlineStr">
        <is>
          <t>Solar</t>
        </is>
      </c>
    </row>
    <row r="87">
      <c r="A87" t="n">
        <v>86</v>
      </c>
      <c r="B87" t="inlineStr">
        <is>
          <t>Lampasas County</t>
        </is>
      </c>
      <c r="C87" s="2" t="n">
        <v>10</v>
      </c>
      <c r="D87" s="3" t="n">
        <v>1741.7</v>
      </c>
      <c r="E87" s="4">
        <f>D87/1000</f>
        <v/>
      </c>
      <c r="F87" t="inlineStr">
        <is>
          <t>Battery</t>
        </is>
      </c>
    </row>
    <row r="88">
      <c r="A88" t="n">
        <v>87</v>
      </c>
      <c r="B88" t="inlineStr">
        <is>
          <t>Angelina County</t>
        </is>
      </c>
      <c r="C88" s="2" t="n">
        <v>5</v>
      </c>
      <c r="D88" s="3" t="n">
        <v>1708.4</v>
      </c>
      <c r="E88" s="4">
        <f>D88/1000</f>
        <v/>
      </c>
      <c r="F88" t="inlineStr">
        <is>
          <t>Gas</t>
        </is>
      </c>
    </row>
    <row r="89">
      <c r="A89" t="n">
        <v>88</v>
      </c>
      <c r="B89" t="inlineStr">
        <is>
          <t>Atascosa County</t>
        </is>
      </c>
      <c r="C89" s="2" t="n">
        <v>14</v>
      </c>
      <c r="D89" s="3" t="n">
        <v>1676.9</v>
      </c>
      <c r="E89" s="4">
        <f>D89/1000</f>
        <v/>
      </c>
      <c r="F89" t="inlineStr">
        <is>
          <t>Solar</t>
        </is>
      </c>
    </row>
    <row r="90">
      <c r="A90" t="n">
        <v>89</v>
      </c>
      <c r="B90" t="inlineStr">
        <is>
          <t>Kent County</t>
        </is>
      </c>
      <c r="C90" s="2" t="n">
        <v>7</v>
      </c>
      <c r="D90" s="3" t="n">
        <v>1629.5</v>
      </c>
      <c r="E90" s="4">
        <f>D90/1000</f>
        <v/>
      </c>
      <c r="F90" t="inlineStr">
        <is>
          <t>Solar</t>
        </is>
      </c>
    </row>
    <row r="91">
      <c r="A91" t="n">
        <v>90</v>
      </c>
      <c r="B91" t="inlineStr">
        <is>
          <t>Houston County</t>
        </is>
      </c>
      <c r="C91" s="2" t="n">
        <v>8</v>
      </c>
      <c r="D91" s="3" t="n">
        <v>1628.8</v>
      </c>
      <c r="E91" s="4">
        <f>D91/1000</f>
        <v/>
      </c>
      <c r="F91" t="inlineStr">
        <is>
          <t>Battery</t>
        </is>
      </c>
    </row>
    <row r="92">
      <c r="A92" t="n">
        <v>91</v>
      </c>
      <c r="B92" t="inlineStr">
        <is>
          <t>Carson County</t>
        </is>
      </c>
      <c r="C92" s="2" t="n">
        <v>4</v>
      </c>
      <c r="D92" s="3" t="n">
        <v>1618.2</v>
      </c>
      <c r="E92" s="4">
        <f>D92/1000</f>
        <v/>
      </c>
      <c r="F92" t="inlineStr">
        <is>
          <t>Wind</t>
        </is>
      </c>
    </row>
    <row r="93">
      <c r="A93" t="n">
        <v>92</v>
      </c>
      <c r="B93" t="inlineStr">
        <is>
          <t>Dawson County</t>
        </is>
      </c>
      <c r="C93" s="2" t="n">
        <v>8</v>
      </c>
      <c r="D93" s="3" t="n">
        <v>1610.7</v>
      </c>
      <c r="E93" s="4">
        <f>D93/1000</f>
        <v/>
      </c>
      <c r="F93" t="inlineStr">
        <is>
          <t>Wind</t>
        </is>
      </c>
    </row>
    <row r="94">
      <c r="A94" t="n">
        <v>93</v>
      </c>
      <c r="B94" t="inlineStr">
        <is>
          <t>Foard County</t>
        </is>
      </c>
      <c r="C94" s="2" t="n">
        <v>5</v>
      </c>
      <c r="D94" s="3" t="n">
        <v>1593.8</v>
      </c>
      <c r="E94" s="4">
        <f>D94/1000</f>
        <v/>
      </c>
      <c r="F94" t="inlineStr">
        <is>
          <t>Solar</t>
        </is>
      </c>
    </row>
    <row r="95">
      <c r="A95" t="n">
        <v>94</v>
      </c>
      <c r="B95" t="inlineStr">
        <is>
          <t>Callahan County</t>
        </is>
      </c>
      <c r="C95" s="2" t="n">
        <v>5</v>
      </c>
      <c r="D95" s="3" t="n">
        <v>1570.6</v>
      </c>
      <c r="E95" s="4">
        <f>D95/1000</f>
        <v/>
      </c>
      <c r="F95" t="inlineStr">
        <is>
          <t>Solar</t>
        </is>
      </c>
    </row>
    <row r="96">
      <c r="A96" t="n">
        <v>95</v>
      </c>
      <c r="B96" t="inlineStr">
        <is>
          <t>Falls County</t>
        </is>
      </c>
      <c r="C96" s="2" t="n">
        <v>13</v>
      </c>
      <c r="D96" s="3" t="n">
        <v>1509.2</v>
      </c>
      <c r="E96" s="4">
        <f>D96/1000</f>
        <v/>
      </c>
      <c r="F96" t="inlineStr">
        <is>
          <t>Solar</t>
        </is>
      </c>
    </row>
    <row r="97">
      <c r="A97" t="n">
        <v>96</v>
      </c>
      <c r="B97" t="inlineStr">
        <is>
          <t>La Salle County</t>
        </is>
      </c>
      <c r="C97" s="2" t="n">
        <v>5</v>
      </c>
      <c r="D97" s="3" t="n">
        <v>1499.1</v>
      </c>
      <c r="E97" s="4">
        <f>D97/1000</f>
        <v/>
      </c>
      <c r="F97" t="inlineStr">
        <is>
          <t>Solar</t>
        </is>
      </c>
    </row>
    <row r="98">
      <c r="A98" t="n">
        <v>97</v>
      </c>
      <c r="B98" t="inlineStr">
        <is>
          <t>Maverick County</t>
        </is>
      </c>
      <c r="C98" s="2" t="n">
        <v>7</v>
      </c>
      <c r="D98" s="3" t="n">
        <v>1498.3</v>
      </c>
      <c r="E98" s="4">
        <f>D98/1000</f>
        <v/>
      </c>
      <c r="F98" t="inlineStr">
        <is>
          <t>Battery</t>
        </is>
      </c>
    </row>
    <row r="99">
      <c r="A99" t="n">
        <v>98</v>
      </c>
      <c r="B99" t="inlineStr">
        <is>
          <t>Hunt County</t>
        </is>
      </c>
      <c r="C99" s="2" t="n">
        <v>10</v>
      </c>
      <c r="D99" s="3" t="n">
        <v>1476.2</v>
      </c>
      <c r="E99" s="4">
        <f>D99/1000</f>
        <v/>
      </c>
      <c r="F99" t="inlineStr">
        <is>
          <t>Battery</t>
        </is>
      </c>
    </row>
    <row r="100">
      <c r="A100" t="n">
        <v>99</v>
      </c>
      <c r="B100" t="inlineStr">
        <is>
          <t>Mills County</t>
        </is>
      </c>
      <c r="C100" s="2" t="n">
        <v>7</v>
      </c>
      <c r="D100" s="3" t="n">
        <v>1409.8</v>
      </c>
      <c r="E100" s="4">
        <f>D100/1000</f>
        <v/>
      </c>
      <c r="F100" t="inlineStr">
        <is>
          <t>Battery</t>
        </is>
      </c>
    </row>
    <row r="101">
      <c r="A101" t="n">
        <v>100</v>
      </c>
      <c r="B101" t="inlineStr">
        <is>
          <t>Fannin County</t>
        </is>
      </c>
      <c r="C101" s="2" t="n">
        <v>3</v>
      </c>
      <c r="D101" s="3" t="n">
        <v>1362.7</v>
      </c>
      <c r="E101" s="4">
        <f>D101/1000</f>
        <v/>
      </c>
      <c r="F101" t="inlineStr">
        <is>
          <t>Gas</t>
        </is>
      </c>
    </row>
    <row r="102">
      <c r="A102" t="n">
        <v>101</v>
      </c>
      <c r="B102" t="inlineStr">
        <is>
          <t>Eastland County</t>
        </is>
      </c>
      <c r="C102" s="2" t="n">
        <v>12</v>
      </c>
      <c r="D102" s="3" t="n">
        <v>1357.6</v>
      </c>
      <c r="E102" s="4">
        <f>D102/1000</f>
        <v/>
      </c>
      <c r="F102" t="inlineStr">
        <is>
          <t>Solar</t>
        </is>
      </c>
    </row>
    <row r="103">
      <c r="A103" t="n">
        <v>102</v>
      </c>
      <c r="B103" t="inlineStr">
        <is>
          <t>Culberson County</t>
        </is>
      </c>
      <c r="C103" s="2" t="n">
        <v>4</v>
      </c>
      <c r="D103" s="3" t="n">
        <v>1328</v>
      </c>
      <c r="E103" s="4">
        <f>D103/1000</f>
        <v/>
      </c>
      <c r="F103" t="inlineStr">
        <is>
          <t>Wind</t>
        </is>
      </c>
    </row>
    <row r="104">
      <c r="A104" t="n">
        <v>103</v>
      </c>
      <c r="B104" t="inlineStr">
        <is>
          <t>Cherokee County</t>
        </is>
      </c>
      <c r="C104" s="2" t="n">
        <v>3</v>
      </c>
      <c r="D104" s="3" t="n">
        <v>1324.8</v>
      </c>
      <c r="E104" s="4">
        <f>D104/1000</f>
        <v/>
      </c>
      <c r="F104" t="inlineStr">
        <is>
          <t>Gas</t>
        </is>
      </c>
    </row>
    <row r="105">
      <c r="A105" t="n">
        <v>104</v>
      </c>
      <c r="B105" t="inlineStr">
        <is>
          <t>King County</t>
        </is>
      </c>
      <c r="C105" s="2" t="n">
        <v>4</v>
      </c>
      <c r="D105" s="3" t="n">
        <v>1312</v>
      </c>
      <c r="E105" s="4">
        <f>D105/1000</f>
        <v/>
      </c>
      <c r="F105" t="inlineStr">
        <is>
          <t>Wind</t>
        </is>
      </c>
    </row>
    <row r="106">
      <c r="A106" t="n">
        <v>105</v>
      </c>
      <c r="B106" t="inlineStr">
        <is>
          <t>Kenedy County</t>
        </is>
      </c>
      <c r="C106" s="2" t="n">
        <v>4</v>
      </c>
      <c r="D106" s="3" t="n">
        <v>1310.6</v>
      </c>
      <c r="E106" s="4">
        <f>D106/1000</f>
        <v/>
      </c>
      <c r="F106" t="inlineStr">
        <is>
          <t>Solar</t>
        </is>
      </c>
    </row>
    <row r="107">
      <c r="A107" t="n">
        <v>106</v>
      </c>
      <c r="B107" t="inlineStr">
        <is>
          <t>Wheeler County</t>
        </is>
      </c>
      <c r="C107" s="2" t="n">
        <v>1</v>
      </c>
      <c r="D107" s="3" t="n">
        <v>1300</v>
      </c>
      <c r="E107" s="4">
        <f>D107/1000</f>
        <v/>
      </c>
      <c r="F107" t="inlineStr">
        <is>
          <t>Gas</t>
        </is>
      </c>
    </row>
    <row r="108">
      <c r="A108" t="n">
        <v>107</v>
      </c>
      <c r="B108" t="inlineStr">
        <is>
          <t>Jefferson County</t>
        </is>
      </c>
      <c r="C108" s="2" t="n">
        <v>1</v>
      </c>
      <c r="D108" s="3" t="n">
        <v>1298</v>
      </c>
      <c r="E108" s="4">
        <f>D108/1000</f>
        <v/>
      </c>
      <c r="F108" t="inlineStr">
        <is>
          <t>Gas</t>
        </is>
      </c>
    </row>
    <row r="109">
      <c r="A109" t="n">
        <v>108</v>
      </c>
      <c r="B109" t="inlineStr">
        <is>
          <t>Dimmit County</t>
        </is>
      </c>
      <c r="C109" s="2" t="n">
        <v>12</v>
      </c>
      <c r="D109" s="3" t="n">
        <v>1294.1</v>
      </c>
      <c r="E109" s="4">
        <f>D109/1000</f>
        <v/>
      </c>
      <c r="F109" t="inlineStr">
        <is>
          <t>Battery</t>
        </is>
      </c>
    </row>
    <row r="110">
      <c r="A110" t="n">
        <v>109</v>
      </c>
      <c r="B110" t="inlineStr">
        <is>
          <t>Sterling County</t>
        </is>
      </c>
      <c r="C110" s="2" t="n">
        <v>7</v>
      </c>
      <c r="D110" s="3" t="n">
        <v>1288.3</v>
      </c>
      <c r="E110" s="4">
        <f>D110/1000</f>
        <v/>
      </c>
      <c r="F110" t="inlineStr">
        <is>
          <t>Wind</t>
        </is>
      </c>
    </row>
    <row r="111">
      <c r="A111" t="n">
        <v>110</v>
      </c>
      <c r="B111" t="inlineStr">
        <is>
          <t>Grayson County</t>
        </is>
      </c>
      <c r="C111" s="2" t="n">
        <v>4</v>
      </c>
      <c r="D111" s="3" t="n">
        <v>1286.7</v>
      </c>
      <c r="E111" s="4">
        <f>D111/1000</f>
        <v/>
      </c>
      <c r="F111" t="inlineStr">
        <is>
          <t>Gas</t>
        </is>
      </c>
    </row>
    <row r="112">
      <c r="A112" t="n">
        <v>111</v>
      </c>
      <c r="B112" t="inlineStr">
        <is>
          <t>Henderson County</t>
        </is>
      </c>
      <c r="C112" s="2" t="n">
        <v>6</v>
      </c>
      <c r="D112" s="3" t="n">
        <v>1188.6</v>
      </c>
      <c r="E112" s="4">
        <f>D112/1000</f>
        <v/>
      </c>
      <c r="F112" t="inlineStr">
        <is>
          <t>Battery</t>
        </is>
      </c>
    </row>
    <row r="113">
      <c r="A113" t="n">
        <v>112</v>
      </c>
      <c r="B113" t="inlineStr">
        <is>
          <t>Gonzales County</t>
        </is>
      </c>
      <c r="C113" s="2" t="n">
        <v>7</v>
      </c>
      <c r="D113" s="3" t="n">
        <v>1171.8</v>
      </c>
      <c r="E113" s="4">
        <f>D113/1000</f>
        <v/>
      </c>
      <c r="F113" t="inlineStr">
        <is>
          <t>Solar</t>
        </is>
      </c>
    </row>
    <row r="114">
      <c r="A114" t="n">
        <v>113</v>
      </c>
      <c r="B114" t="inlineStr">
        <is>
          <t>Brazos County</t>
        </is>
      </c>
      <c r="C114" s="2" t="n">
        <v>2</v>
      </c>
      <c r="D114" s="3" t="n">
        <v>1126.5</v>
      </c>
      <c r="E114" s="4">
        <f>D114/1000</f>
        <v/>
      </c>
      <c r="F114" t="inlineStr">
        <is>
          <t>Gas</t>
        </is>
      </c>
    </row>
    <row r="115">
      <c r="A115" t="n">
        <v>114</v>
      </c>
      <c r="B115" t="inlineStr">
        <is>
          <t>Chambers County</t>
        </is>
      </c>
      <c r="C115" s="2" t="n">
        <v>3</v>
      </c>
      <c r="D115" s="3" t="n">
        <v>1068.7</v>
      </c>
      <c r="E115" s="4">
        <f>D115/1000</f>
        <v/>
      </c>
      <c r="F115" t="inlineStr">
        <is>
          <t>Gas</t>
        </is>
      </c>
    </row>
    <row r="116">
      <c r="A116" t="n">
        <v>115</v>
      </c>
      <c r="B116" t="inlineStr">
        <is>
          <t>Limestone County</t>
        </is>
      </c>
      <c r="C116" s="2" t="n">
        <v>9</v>
      </c>
      <c r="D116" s="3" t="n">
        <v>1063.5</v>
      </c>
      <c r="E116" s="4">
        <f>D116/1000</f>
        <v/>
      </c>
      <c r="F116" t="inlineStr">
        <is>
          <t>Solar</t>
        </is>
      </c>
    </row>
    <row r="117">
      <c r="A117" t="n">
        <v>116</v>
      </c>
      <c r="B117" t="inlineStr">
        <is>
          <t>Fayette County</t>
        </is>
      </c>
      <c r="C117" s="2" t="n">
        <v>4</v>
      </c>
      <c r="D117" s="3" t="n">
        <v>1016</v>
      </c>
      <c r="E117" s="4">
        <f>D117/1000</f>
        <v/>
      </c>
      <c r="F117" t="inlineStr">
        <is>
          <t>Battery</t>
        </is>
      </c>
    </row>
    <row r="118">
      <c r="A118" t="n">
        <v>117</v>
      </c>
      <c r="B118" t="inlineStr">
        <is>
          <t>Montague County</t>
        </is>
      </c>
      <c r="C118" s="2" t="n">
        <v>4</v>
      </c>
      <c r="D118" s="3" t="n">
        <v>1014.1</v>
      </c>
      <c r="E118" s="4">
        <f>D118/1000</f>
        <v/>
      </c>
      <c r="F118" t="inlineStr">
        <is>
          <t>Battery</t>
        </is>
      </c>
    </row>
    <row r="119">
      <c r="A119" t="n">
        <v>118</v>
      </c>
      <c r="B119" t="inlineStr">
        <is>
          <t>Van Zandt County</t>
        </is>
      </c>
      <c r="C119" s="2" t="n">
        <v>8</v>
      </c>
      <c r="D119" s="3" t="n">
        <v>986.3</v>
      </c>
      <c r="E119" s="4">
        <f>D119/1000</f>
        <v/>
      </c>
      <c r="F119" t="inlineStr">
        <is>
          <t>Battery</t>
        </is>
      </c>
    </row>
    <row r="120">
      <c r="A120" t="n">
        <v>119</v>
      </c>
      <c r="B120" t="inlineStr">
        <is>
          <t>Collin County</t>
        </is>
      </c>
      <c r="C120" s="2" t="n">
        <v>5</v>
      </c>
      <c r="D120" s="3" t="n">
        <v>975.1</v>
      </c>
      <c r="E120" s="4">
        <f>D120/1000</f>
        <v/>
      </c>
      <c r="F120" t="inlineStr">
        <is>
          <t>Battery</t>
        </is>
      </c>
    </row>
    <row r="121">
      <c r="A121" t="n">
        <v>120</v>
      </c>
      <c r="B121" t="inlineStr">
        <is>
          <t>DeWitt County</t>
        </is>
      </c>
      <c r="C121" s="2" t="n">
        <v>5</v>
      </c>
      <c r="D121" s="3" t="n">
        <v>971.9</v>
      </c>
      <c r="E121" s="4">
        <f>D121/1000</f>
        <v/>
      </c>
      <c r="F121" t="inlineStr">
        <is>
          <t>Solar</t>
        </is>
      </c>
    </row>
    <row r="122">
      <c r="A122" t="n">
        <v>121</v>
      </c>
      <c r="B122" t="inlineStr">
        <is>
          <t>Throckmorton County</t>
        </is>
      </c>
      <c r="C122" s="2" t="n">
        <v>6</v>
      </c>
      <c r="D122" s="3" t="n">
        <v>960.6</v>
      </c>
      <c r="E122" s="4">
        <f>D122/1000</f>
        <v/>
      </c>
      <c r="F122" t="inlineStr">
        <is>
          <t>Solar</t>
        </is>
      </c>
    </row>
    <row r="123">
      <c r="A123" t="n">
        <v>122</v>
      </c>
      <c r="B123" t="inlineStr">
        <is>
          <t>Medina County</t>
        </is>
      </c>
      <c r="C123" s="2" t="n">
        <v>7</v>
      </c>
      <c r="D123" s="3" t="n">
        <v>955.9</v>
      </c>
      <c r="E123" s="4">
        <f>D123/1000</f>
        <v/>
      </c>
      <c r="F123" t="inlineStr">
        <is>
          <t>Battery</t>
        </is>
      </c>
    </row>
    <row r="124">
      <c r="A124" t="n">
        <v>123</v>
      </c>
      <c r="B124" t="inlineStr">
        <is>
          <t>Cooke County</t>
        </is>
      </c>
      <c r="C124" s="2" t="n">
        <v>5</v>
      </c>
      <c r="D124" s="3" t="n">
        <v>947.8</v>
      </c>
      <c r="E124" s="4">
        <f>D124/1000</f>
        <v/>
      </c>
      <c r="F124" t="inlineStr">
        <is>
          <t>Battery</t>
        </is>
      </c>
    </row>
    <row r="125">
      <c r="A125" t="n">
        <v>124</v>
      </c>
      <c r="B125" t="inlineStr">
        <is>
          <t>Rusk County</t>
        </is>
      </c>
      <c r="C125" s="2" t="n">
        <v>5</v>
      </c>
      <c r="D125" s="3" t="n">
        <v>940.3</v>
      </c>
      <c r="E125" s="4">
        <f>D125/1000</f>
        <v/>
      </c>
      <c r="F125" t="inlineStr">
        <is>
          <t>Battery</t>
        </is>
      </c>
    </row>
    <row r="126">
      <c r="A126" t="n">
        <v>125</v>
      </c>
      <c r="B126" t="inlineStr">
        <is>
          <t>Frio County</t>
        </is>
      </c>
      <c r="C126" s="2" t="n">
        <v>5</v>
      </c>
      <c r="D126" s="3" t="n">
        <v>923.8</v>
      </c>
      <c r="E126" s="4">
        <f>D126/1000</f>
        <v/>
      </c>
      <c r="F126" t="inlineStr">
        <is>
          <t>Battery</t>
        </is>
      </c>
    </row>
    <row r="127">
      <c r="A127" t="n">
        <v>126</v>
      </c>
      <c r="B127" t="inlineStr">
        <is>
          <t>Waller County</t>
        </is>
      </c>
      <c r="C127" s="2" t="n">
        <v>4</v>
      </c>
      <c r="D127" s="3" t="n">
        <v>914.1</v>
      </c>
      <c r="E127" s="4">
        <f>D127/1000</f>
        <v/>
      </c>
      <c r="F127" t="inlineStr">
        <is>
          <t>Battery</t>
        </is>
      </c>
    </row>
    <row r="128">
      <c r="A128" t="n">
        <v>127</v>
      </c>
      <c r="B128" t="inlineStr">
        <is>
          <t>Cottle County</t>
        </is>
      </c>
      <c r="C128" s="2" t="n">
        <v>4</v>
      </c>
      <c r="D128" s="3" t="n">
        <v>906.4</v>
      </c>
      <c r="E128" s="4">
        <f>D128/1000</f>
        <v/>
      </c>
      <c r="F128" t="inlineStr">
        <is>
          <t>Wind</t>
        </is>
      </c>
    </row>
    <row r="129">
      <c r="A129" t="n">
        <v>128</v>
      </c>
      <c r="B129" t="inlineStr">
        <is>
          <t>Brooks County</t>
        </is>
      </c>
      <c r="C129" s="2" t="n">
        <v>4</v>
      </c>
      <c r="D129" s="3" t="n">
        <v>879.4</v>
      </c>
      <c r="E129" s="4">
        <f>D129/1000</f>
        <v/>
      </c>
      <c r="F129" t="inlineStr">
        <is>
          <t>Solar</t>
        </is>
      </c>
    </row>
    <row r="130">
      <c r="A130" t="n">
        <v>129</v>
      </c>
      <c r="B130" t="inlineStr">
        <is>
          <t>Comal County</t>
        </is>
      </c>
      <c r="C130" s="2" t="n">
        <v>3</v>
      </c>
      <c r="D130" s="3" t="n">
        <v>866.9</v>
      </c>
      <c r="E130" s="4">
        <f>D130/1000</f>
        <v/>
      </c>
      <c r="F130" t="inlineStr">
        <is>
          <t>Battery</t>
        </is>
      </c>
    </row>
    <row r="131">
      <c r="A131" t="n">
        <v>130</v>
      </c>
      <c r="B131" t="inlineStr">
        <is>
          <t>Dallas County</t>
        </is>
      </c>
      <c r="C131" s="2" t="n">
        <v>9</v>
      </c>
      <c r="D131" s="3" t="n">
        <v>866.8</v>
      </c>
      <c r="E131" s="4">
        <f>D131/1000</f>
        <v/>
      </c>
      <c r="F131" t="inlineStr">
        <is>
          <t>Battery</t>
        </is>
      </c>
    </row>
    <row r="132">
      <c r="A132" t="n">
        <v>131</v>
      </c>
      <c r="B132" t="inlineStr">
        <is>
          <t>Midland County</t>
        </is>
      </c>
      <c r="C132" s="2" t="n">
        <v>7</v>
      </c>
      <c r="D132" s="3" t="n">
        <v>853.8</v>
      </c>
      <c r="E132" s="4">
        <f>D132/1000</f>
        <v/>
      </c>
      <c r="F132" t="inlineStr">
        <is>
          <t>Battery</t>
        </is>
      </c>
    </row>
    <row r="133">
      <c r="A133" t="n">
        <v>132</v>
      </c>
      <c r="B133" t="inlineStr">
        <is>
          <t>Motley County</t>
        </is>
      </c>
      <c r="C133" s="2" t="n">
        <v>3</v>
      </c>
      <c r="D133" s="3" t="n">
        <v>852</v>
      </c>
      <c r="E133" s="4">
        <f>D133/1000</f>
        <v/>
      </c>
      <c r="F133" t="inlineStr">
        <is>
          <t>Wind</t>
        </is>
      </c>
    </row>
    <row r="134">
      <c r="A134" t="n">
        <v>133</v>
      </c>
      <c r="B134" t="inlineStr">
        <is>
          <t>Calhoun County</t>
        </is>
      </c>
      <c r="C134" s="2" t="n">
        <v>4</v>
      </c>
      <c r="D134" s="3" t="n">
        <v>849.6</v>
      </c>
      <c r="E134" s="4">
        <f>D134/1000</f>
        <v/>
      </c>
      <c r="F134" t="inlineStr">
        <is>
          <t>Solar</t>
        </is>
      </c>
    </row>
    <row r="135">
      <c r="A135" t="n">
        <v>134</v>
      </c>
      <c r="B135" t="inlineStr">
        <is>
          <t>Jackson County</t>
        </is>
      </c>
      <c r="C135" s="2" t="n">
        <v>6</v>
      </c>
      <c r="D135" s="3" t="n">
        <v>829.5</v>
      </c>
      <c r="E135" s="4">
        <f>D135/1000</f>
        <v/>
      </c>
      <c r="F135" t="inlineStr">
        <is>
          <t>Battery</t>
        </is>
      </c>
    </row>
    <row r="136">
      <c r="A136" t="n">
        <v>135</v>
      </c>
      <c r="B136" t="inlineStr">
        <is>
          <t>Archer County</t>
        </is>
      </c>
      <c r="C136" s="2" t="n">
        <v>7</v>
      </c>
      <c r="D136" s="3" t="n">
        <v>826.9</v>
      </c>
      <c r="E136" s="4">
        <f>D136/1000</f>
        <v/>
      </c>
      <c r="F136" t="inlineStr">
        <is>
          <t>Battery</t>
        </is>
      </c>
    </row>
    <row r="137">
      <c r="A137" t="n">
        <v>136</v>
      </c>
      <c r="B137" t="inlineStr">
        <is>
          <t>Madison County</t>
        </is>
      </c>
      <c r="C137" s="2" t="n">
        <v>4</v>
      </c>
      <c r="D137" s="3" t="n">
        <v>814.4</v>
      </c>
      <c r="E137" s="4">
        <f>D137/1000</f>
        <v/>
      </c>
      <c r="F137" t="inlineStr">
        <is>
          <t>Battery</t>
        </is>
      </c>
    </row>
    <row r="138">
      <c r="A138" t="n">
        <v>137</v>
      </c>
      <c r="B138" t="inlineStr">
        <is>
          <t>Coke County</t>
        </is>
      </c>
      <c r="C138" s="2" t="n">
        <v>5</v>
      </c>
      <c r="D138" s="3" t="n">
        <v>808.2</v>
      </c>
      <c r="E138" s="4">
        <f>D138/1000</f>
        <v/>
      </c>
      <c r="F138" t="inlineStr">
        <is>
          <t>Solar</t>
        </is>
      </c>
    </row>
    <row r="139">
      <c r="A139" t="n">
        <v>138</v>
      </c>
      <c r="B139" t="inlineStr">
        <is>
          <t>Stonewall County</t>
        </is>
      </c>
      <c r="C139" s="2" t="n">
        <v>3</v>
      </c>
      <c r="D139" s="3" t="n">
        <v>798.8</v>
      </c>
      <c r="E139" s="4">
        <f>D139/1000</f>
        <v/>
      </c>
      <c r="F139" t="inlineStr">
        <is>
          <t>Solar</t>
        </is>
      </c>
    </row>
    <row r="140">
      <c r="A140" t="n">
        <v>139</v>
      </c>
      <c r="B140" t="inlineStr">
        <is>
          <t>Tarrant County</t>
        </is>
      </c>
      <c r="C140" s="2" t="n">
        <v>4</v>
      </c>
      <c r="D140" s="3" t="n">
        <v>791.6</v>
      </c>
      <c r="E140" s="4">
        <f>D140/1000</f>
        <v/>
      </c>
      <c r="F140" t="inlineStr">
        <is>
          <t>Battery</t>
        </is>
      </c>
    </row>
    <row r="141">
      <c r="A141" t="n">
        <v>140</v>
      </c>
      <c r="B141" t="inlineStr">
        <is>
          <t>Willacy County</t>
        </is>
      </c>
      <c r="C141" s="2" t="n">
        <v>4</v>
      </c>
      <c r="D141" s="3" t="n">
        <v>786.7</v>
      </c>
      <c r="E141" s="4">
        <f>D141/1000</f>
        <v/>
      </c>
      <c r="F141" t="inlineStr">
        <is>
          <t>Wind</t>
        </is>
      </c>
    </row>
    <row r="142">
      <c r="A142" t="n">
        <v>141</v>
      </c>
      <c r="B142" t="inlineStr">
        <is>
          <t>Hood County</t>
        </is>
      </c>
      <c r="C142" s="2" t="n">
        <v>4</v>
      </c>
      <c r="D142" s="3" t="n">
        <v>760.8</v>
      </c>
      <c r="E142" s="4">
        <f>D142/1000</f>
        <v/>
      </c>
      <c r="F142" t="inlineStr">
        <is>
          <t>Battery</t>
        </is>
      </c>
    </row>
    <row r="143">
      <c r="A143" t="n">
        <v>142</v>
      </c>
      <c r="B143" t="inlineStr">
        <is>
          <t>McCulloch County</t>
        </is>
      </c>
      <c r="C143" s="2" t="n">
        <v>3</v>
      </c>
      <c r="D143" s="3" t="n">
        <v>750.8</v>
      </c>
      <c r="E143" s="4">
        <f>D143/1000</f>
        <v/>
      </c>
      <c r="F143" t="inlineStr">
        <is>
          <t>Solar</t>
        </is>
      </c>
    </row>
    <row r="144">
      <c r="A144" t="n">
        <v>143</v>
      </c>
      <c r="B144" t="inlineStr">
        <is>
          <t>Kinney County</t>
        </is>
      </c>
      <c r="C144" s="2" t="n">
        <v>8</v>
      </c>
      <c r="D144" s="3" t="n">
        <v>708.9</v>
      </c>
      <c r="E144" s="4">
        <f>D144/1000</f>
        <v/>
      </c>
      <c r="F144" t="inlineStr">
        <is>
          <t>Solar</t>
        </is>
      </c>
    </row>
    <row r="145">
      <c r="A145" t="n">
        <v>144</v>
      </c>
      <c r="B145" t="inlineStr">
        <is>
          <t>Zavala County</t>
        </is>
      </c>
      <c r="C145" s="2" t="n">
        <v>6</v>
      </c>
      <c r="D145" s="3" t="n">
        <v>692.2</v>
      </c>
      <c r="E145" s="4">
        <f>D145/1000</f>
        <v/>
      </c>
      <c r="F145" t="inlineStr">
        <is>
          <t>Battery</t>
        </is>
      </c>
    </row>
    <row r="146">
      <c r="A146" t="n">
        <v>145</v>
      </c>
      <c r="B146" t="inlineStr">
        <is>
          <t>Somervell County</t>
        </is>
      </c>
      <c r="C146" s="2" t="n">
        <v>2</v>
      </c>
      <c r="D146" s="3" t="n">
        <v>666.4</v>
      </c>
      <c r="E146" s="4">
        <f>D146/1000</f>
        <v/>
      </c>
      <c r="F146" t="inlineStr">
        <is>
          <t>Gas</t>
        </is>
      </c>
    </row>
    <row r="147">
      <c r="A147" t="n">
        <v>146</v>
      </c>
      <c r="B147" t="inlineStr">
        <is>
          <t>Erath County</t>
        </is>
      </c>
      <c r="C147" s="2" t="n">
        <v>3</v>
      </c>
      <c r="D147" s="3" t="n">
        <v>664.6</v>
      </c>
      <c r="E147" s="4">
        <f>D147/1000</f>
        <v/>
      </c>
      <c r="F147" t="inlineStr">
        <is>
          <t>Battery</t>
        </is>
      </c>
    </row>
    <row r="148">
      <c r="A148" t="n">
        <v>147</v>
      </c>
      <c r="B148" t="inlineStr">
        <is>
          <t>Travis County</t>
        </is>
      </c>
      <c r="C148" s="2" t="n">
        <v>8</v>
      </c>
      <c r="D148" s="3" t="n">
        <v>631.9</v>
      </c>
      <c r="E148" s="4">
        <f>D148/1000</f>
        <v/>
      </c>
      <c r="F148" t="inlineStr">
        <is>
          <t>Battery</t>
        </is>
      </c>
    </row>
    <row r="149">
      <c r="A149" t="n">
        <v>148</v>
      </c>
      <c r="B149" t="inlineStr">
        <is>
          <t>Johnson County</t>
        </is>
      </c>
      <c r="C149" s="2" t="n">
        <v>2</v>
      </c>
      <c r="D149" s="3" t="n">
        <v>628.5</v>
      </c>
      <c r="E149" s="4">
        <f>D149/1000</f>
        <v/>
      </c>
      <c r="F149" t="inlineStr">
        <is>
          <t>Solar</t>
        </is>
      </c>
    </row>
    <row r="150">
      <c r="A150" t="n">
        <v>149</v>
      </c>
      <c r="B150" t="inlineStr">
        <is>
          <t>Reagan County</t>
        </is>
      </c>
      <c r="C150" s="2" t="n">
        <v>3</v>
      </c>
      <c r="D150" s="3" t="n">
        <v>618.1</v>
      </c>
      <c r="E150" s="4">
        <f>D150/1000</f>
        <v/>
      </c>
      <c r="F150" t="inlineStr">
        <is>
          <t>Wind</t>
        </is>
      </c>
    </row>
    <row r="151">
      <c r="A151" t="n">
        <v>150</v>
      </c>
      <c r="B151" t="inlineStr">
        <is>
          <t>Winkler County</t>
        </is>
      </c>
      <c r="C151" s="2" t="n">
        <v>2</v>
      </c>
      <c r="D151" s="3" t="n">
        <v>613.4</v>
      </c>
      <c r="E151" s="4">
        <f>D151/1000</f>
        <v/>
      </c>
      <c r="F151" t="inlineStr">
        <is>
          <t>Wind</t>
        </is>
      </c>
    </row>
    <row r="152">
      <c r="A152" t="n">
        <v>151</v>
      </c>
      <c r="B152" t="inlineStr">
        <is>
          <t>Nacogdoches County</t>
        </is>
      </c>
      <c r="C152" s="2" t="n">
        <v>3</v>
      </c>
      <c r="D152" s="3" t="n">
        <v>587.9</v>
      </c>
      <c r="E152" s="4">
        <f>D152/1000</f>
        <v/>
      </c>
      <c r="F152" t="inlineStr">
        <is>
          <t>Solar</t>
        </is>
      </c>
    </row>
    <row r="153">
      <c r="A153" t="n">
        <v>152</v>
      </c>
      <c r="B153" t="inlineStr">
        <is>
          <t>Hutchinson County</t>
        </is>
      </c>
      <c r="C153" s="2" t="n">
        <v>2</v>
      </c>
      <c r="D153" s="3" t="n">
        <v>564.7</v>
      </c>
      <c r="E153" s="4">
        <f>D153/1000</f>
        <v/>
      </c>
      <c r="F153" t="inlineStr">
        <is>
          <t>Solar</t>
        </is>
      </c>
    </row>
    <row r="154">
      <c r="A154" t="n">
        <v>153</v>
      </c>
      <c r="B154" t="inlineStr">
        <is>
          <t>Martin County</t>
        </is>
      </c>
      <c r="C154" s="2" t="n">
        <v>3</v>
      </c>
      <c r="D154" s="3" t="n">
        <v>491.9</v>
      </c>
      <c r="E154" s="4">
        <f>D154/1000</f>
        <v/>
      </c>
      <c r="F154" t="inlineStr">
        <is>
          <t>Battery</t>
        </is>
      </c>
    </row>
    <row r="155">
      <c r="A155" t="n">
        <v>154</v>
      </c>
      <c r="B155" t="inlineStr">
        <is>
          <t>Val Verde County</t>
        </is>
      </c>
      <c r="C155" s="2" t="n">
        <v>3</v>
      </c>
      <c r="D155" s="3" t="n">
        <v>475.2</v>
      </c>
      <c r="E155" s="4">
        <f>D155/1000</f>
        <v/>
      </c>
      <c r="F155" t="inlineStr">
        <is>
          <t>Solar</t>
        </is>
      </c>
    </row>
    <row r="156">
      <c r="A156" t="n">
        <v>155</v>
      </c>
      <c r="B156" t="inlineStr">
        <is>
          <t>Williamson County</t>
        </is>
      </c>
      <c r="C156" s="2" t="n">
        <v>1</v>
      </c>
      <c r="D156" s="3" t="n">
        <v>449</v>
      </c>
      <c r="E156" s="4">
        <f>D156/1000</f>
        <v/>
      </c>
      <c r="F156" t="inlineStr">
        <is>
          <t>Gas</t>
        </is>
      </c>
    </row>
    <row r="157">
      <c r="A157" t="n">
        <v>156</v>
      </c>
      <c r="B157" t="inlineStr">
        <is>
          <t>Gillespie County</t>
        </is>
      </c>
      <c r="C157" s="2" t="n">
        <v>3</v>
      </c>
      <c r="D157" s="3" t="n">
        <v>448.6</v>
      </c>
      <c r="E157" s="4">
        <f>D157/1000</f>
        <v/>
      </c>
      <c r="F157" t="inlineStr">
        <is>
          <t>Battery</t>
        </is>
      </c>
    </row>
    <row r="158">
      <c r="A158" t="n">
        <v>157</v>
      </c>
      <c r="B158" t="inlineStr">
        <is>
          <t>Shackelford County</t>
        </is>
      </c>
      <c r="C158" s="2" t="n">
        <v>2</v>
      </c>
      <c r="D158" s="3" t="n">
        <v>410.4</v>
      </c>
      <c r="E158" s="4">
        <f>D158/1000</f>
        <v/>
      </c>
      <c r="F158" t="inlineStr">
        <is>
          <t>Battery</t>
        </is>
      </c>
    </row>
    <row r="159">
      <c r="A159" t="n">
        <v>158</v>
      </c>
      <c r="B159" t="inlineStr">
        <is>
          <t>Burnet County</t>
        </is>
      </c>
      <c r="C159" s="2" t="n">
        <v>4</v>
      </c>
      <c r="D159" s="3" t="n">
        <v>394.7</v>
      </c>
      <c r="E159" s="4">
        <f>D159/1000</f>
        <v/>
      </c>
      <c r="F159" t="inlineStr">
        <is>
          <t>Battery</t>
        </is>
      </c>
    </row>
    <row r="160">
      <c r="A160" t="n">
        <v>159</v>
      </c>
      <c r="B160" t="inlineStr">
        <is>
          <t>Bosque County</t>
        </is>
      </c>
      <c r="C160" s="2" t="n">
        <v>3</v>
      </c>
      <c r="D160" s="3" t="n">
        <v>382.8</v>
      </c>
      <c r="E160" s="4">
        <f>D160/1000</f>
        <v/>
      </c>
      <c r="F160" t="inlineStr">
        <is>
          <t>Battery</t>
        </is>
      </c>
    </row>
    <row r="161">
      <c r="A161" t="n">
        <v>160</v>
      </c>
      <c r="B161" t="inlineStr">
        <is>
          <t>Kleberg County</t>
        </is>
      </c>
      <c r="C161" s="2" t="n">
        <v>2</v>
      </c>
      <c r="D161" s="3" t="n">
        <v>340</v>
      </c>
      <c r="E161" s="4">
        <f>D161/1000</f>
        <v/>
      </c>
      <c r="F161" t="inlineStr">
        <is>
          <t>Solar</t>
        </is>
      </c>
    </row>
    <row r="162">
      <c r="A162" t="n">
        <v>161</v>
      </c>
      <c r="B162" t="inlineStr">
        <is>
          <t>Red River County</t>
        </is>
      </c>
      <c r="C162" s="2" t="n">
        <v>4</v>
      </c>
      <c r="D162" s="3" t="n">
        <v>330.2</v>
      </c>
      <c r="E162" s="4">
        <f>D162/1000</f>
        <v/>
      </c>
      <c r="F162" t="inlineStr">
        <is>
          <t>Solar</t>
        </is>
      </c>
    </row>
    <row r="163">
      <c r="A163" t="n">
        <v>162</v>
      </c>
      <c r="B163" t="inlineStr">
        <is>
          <t>Bandera County</t>
        </is>
      </c>
      <c r="C163" s="2" t="n">
        <v>2</v>
      </c>
      <c r="D163" s="3" t="n">
        <v>325.8</v>
      </c>
      <c r="E163" s="4">
        <f>D163/1000</f>
        <v/>
      </c>
      <c r="F163" t="inlineStr">
        <is>
          <t>Battery</t>
        </is>
      </c>
    </row>
    <row r="164">
      <c r="A164" t="n">
        <v>163</v>
      </c>
      <c r="B164" t="inlineStr">
        <is>
          <t>Live Oak County</t>
        </is>
      </c>
      <c r="C164" s="2" t="n">
        <v>5</v>
      </c>
      <c r="D164" s="3" t="n">
        <v>322.6</v>
      </c>
      <c r="E164" s="4">
        <f>D164/1000</f>
        <v/>
      </c>
      <c r="F164" t="inlineStr">
        <is>
          <t>Solar</t>
        </is>
      </c>
    </row>
    <row r="165">
      <c r="A165" t="n">
        <v>164</v>
      </c>
      <c r="B165" t="inlineStr">
        <is>
          <t>Palo Pinto County</t>
        </is>
      </c>
      <c r="C165" s="2" t="n">
        <v>3</v>
      </c>
      <c r="D165" s="3" t="n">
        <v>314.8</v>
      </c>
      <c r="E165" s="4">
        <f>D165/1000</f>
        <v/>
      </c>
      <c r="F165" t="inlineStr">
        <is>
          <t>Solar</t>
        </is>
      </c>
    </row>
    <row r="166">
      <c r="A166" t="n">
        <v>165</v>
      </c>
      <c r="B166" t="inlineStr">
        <is>
          <t>Lavaca County</t>
        </is>
      </c>
      <c r="C166" s="2" t="n">
        <v>1</v>
      </c>
      <c r="D166" s="3" t="n">
        <v>310.2</v>
      </c>
      <c r="E166" s="4">
        <f>D166/1000</f>
        <v/>
      </c>
      <c r="F166" t="inlineStr">
        <is>
          <t>Battery</t>
        </is>
      </c>
    </row>
    <row r="167">
      <c r="A167" t="n">
        <v>166</v>
      </c>
      <c r="B167" t="inlineStr">
        <is>
          <t>Sutton County</t>
        </is>
      </c>
      <c r="C167" s="2" t="n">
        <v>2</v>
      </c>
      <c r="D167" s="3" t="n">
        <v>307.1</v>
      </c>
      <c r="E167" s="4">
        <f>D167/1000</f>
        <v/>
      </c>
      <c r="F167" t="inlineStr">
        <is>
          <t>Battery</t>
        </is>
      </c>
    </row>
    <row r="168">
      <c r="A168" t="n">
        <v>167</v>
      </c>
      <c r="B168" t="inlineStr">
        <is>
          <t>Kimble County</t>
        </is>
      </c>
      <c r="C168" s="2" t="n">
        <v>1</v>
      </c>
      <c r="D168" s="3" t="n">
        <v>306.4</v>
      </c>
      <c r="E168" s="4">
        <f>D168/1000</f>
        <v/>
      </c>
      <c r="F168" t="inlineStr">
        <is>
          <t>Battery</t>
        </is>
      </c>
    </row>
    <row r="169">
      <c r="A169" t="n">
        <v>168</v>
      </c>
      <c r="B169" t="inlineStr">
        <is>
          <t>Stephens County</t>
        </is>
      </c>
      <c r="C169" s="2" t="n">
        <v>3</v>
      </c>
      <c r="D169" s="3" t="n">
        <v>301.4</v>
      </c>
      <c r="E169" s="4">
        <f>D169/1000</f>
        <v/>
      </c>
      <c r="F169" t="inlineStr">
        <is>
          <t>Wind</t>
        </is>
      </c>
    </row>
    <row r="170">
      <c r="A170" t="n">
        <v>169</v>
      </c>
      <c r="B170" t="inlineStr">
        <is>
          <t>Menard County</t>
        </is>
      </c>
      <c r="C170" s="2" t="n">
        <v>2</v>
      </c>
      <c r="D170" s="3" t="n">
        <v>294.8</v>
      </c>
      <c r="E170" s="4">
        <f>D170/1000</f>
        <v/>
      </c>
      <c r="F170" t="inlineStr">
        <is>
          <t>Battery</t>
        </is>
      </c>
    </row>
    <row r="171">
      <c r="A171" t="n">
        <v>170</v>
      </c>
      <c r="B171" t="inlineStr">
        <is>
          <t>Jim Wells County</t>
        </is>
      </c>
      <c r="C171" s="2" t="n">
        <v>5</v>
      </c>
      <c r="D171" s="3" t="n">
        <v>276.3</v>
      </c>
      <c r="E171" s="4">
        <f>D171/1000</f>
        <v/>
      </c>
      <c r="F171" t="inlineStr">
        <is>
          <t>Solar</t>
        </is>
      </c>
    </row>
    <row r="172">
      <c r="A172" t="n">
        <v>171</v>
      </c>
      <c r="B172" t="inlineStr">
        <is>
          <t>Childress County</t>
        </is>
      </c>
      <c r="C172" s="2" t="n">
        <v>3</v>
      </c>
      <c r="D172" s="3" t="n">
        <v>269.6</v>
      </c>
      <c r="E172" s="4">
        <f>D172/1000</f>
        <v/>
      </c>
      <c r="F172" t="inlineStr">
        <is>
          <t>Solar</t>
        </is>
      </c>
    </row>
    <row r="173">
      <c r="A173" t="n">
        <v>172</v>
      </c>
      <c r="B173" t="inlineStr">
        <is>
          <t>McMullen County</t>
        </is>
      </c>
      <c r="C173" s="2" t="n">
        <v>1</v>
      </c>
      <c r="D173" s="3" t="n">
        <v>261.7</v>
      </c>
      <c r="E173" s="4">
        <f>D173/1000</f>
        <v/>
      </c>
      <c r="F173" t="inlineStr">
        <is>
          <t>Solar</t>
        </is>
      </c>
    </row>
    <row r="174">
      <c r="A174" t="n">
        <v>173</v>
      </c>
      <c r="B174" t="inlineStr">
        <is>
          <t>Crosby County</t>
        </is>
      </c>
      <c r="C174" s="2" t="n">
        <v>1</v>
      </c>
      <c r="D174" s="3" t="n">
        <v>252.5</v>
      </c>
      <c r="E174" s="4">
        <f>D174/1000</f>
        <v/>
      </c>
      <c r="F174" t="inlineStr">
        <is>
          <t>Wind</t>
        </is>
      </c>
    </row>
    <row r="175">
      <c r="A175" t="n">
        <v>174</v>
      </c>
      <c r="B175" t="inlineStr">
        <is>
          <t>Roberts County</t>
        </is>
      </c>
      <c r="C175" s="2" t="n">
        <v>1</v>
      </c>
      <c r="D175" s="3" t="n">
        <v>250.7</v>
      </c>
      <c r="E175" s="4">
        <f>D175/1000</f>
        <v/>
      </c>
      <c r="F175" t="inlineStr">
        <is>
          <t>Gas</t>
        </is>
      </c>
    </row>
    <row r="176">
      <c r="A176" t="n">
        <v>175</v>
      </c>
      <c r="B176" t="inlineStr">
        <is>
          <t>Loving County</t>
        </is>
      </c>
      <c r="C176" s="2" t="n">
        <v>2</v>
      </c>
      <c r="D176" s="3" t="n">
        <v>244.3</v>
      </c>
      <c r="E176" s="4">
        <f>D176/1000</f>
        <v/>
      </c>
      <c r="F176" t="inlineStr">
        <is>
          <t>Battery</t>
        </is>
      </c>
    </row>
    <row r="177">
      <c r="A177" t="n">
        <v>176</v>
      </c>
      <c r="B177" t="inlineStr">
        <is>
          <t>Brewster County</t>
        </is>
      </c>
      <c r="C177" s="2" t="n">
        <v>2</v>
      </c>
      <c r="D177" s="3" t="n">
        <v>228.9</v>
      </c>
      <c r="E177" s="4">
        <f>D177/1000</f>
        <v/>
      </c>
      <c r="F177" t="inlineStr">
        <is>
          <t>Solar</t>
        </is>
      </c>
    </row>
    <row r="178">
      <c r="A178" t="n">
        <v>177</v>
      </c>
      <c r="B178" t="inlineStr">
        <is>
          <t>Lubbock County</t>
        </is>
      </c>
      <c r="C178" s="2" t="n">
        <v>1</v>
      </c>
      <c r="D178" s="3" t="n">
        <v>226.4</v>
      </c>
      <c r="E178" s="4">
        <f>D178/1000</f>
        <v/>
      </c>
      <c r="F178" t="inlineStr">
        <is>
          <t>Battery</t>
        </is>
      </c>
    </row>
    <row r="179">
      <c r="A179" t="n">
        <v>178</v>
      </c>
      <c r="B179" t="inlineStr">
        <is>
          <t>Uvalde County</t>
        </is>
      </c>
      <c r="C179" s="2" t="n">
        <v>3</v>
      </c>
      <c r="D179" s="3" t="n">
        <v>222.7</v>
      </c>
      <c r="E179" s="4">
        <f>D179/1000</f>
        <v/>
      </c>
      <c r="F179" t="inlineStr">
        <is>
          <t>Solar</t>
        </is>
      </c>
    </row>
    <row r="180">
      <c r="A180" t="n">
        <v>179</v>
      </c>
      <c r="B180" t="inlineStr">
        <is>
          <t>Montgomery County</t>
        </is>
      </c>
      <c r="C180" s="2" t="n">
        <v>1</v>
      </c>
      <c r="D180" s="3" t="n">
        <v>217.2</v>
      </c>
      <c r="E180" s="4">
        <f>D180/1000</f>
        <v/>
      </c>
      <c r="F180" t="inlineStr">
        <is>
          <t>Battery</t>
        </is>
      </c>
    </row>
    <row r="181">
      <c r="A181" t="n">
        <v>180</v>
      </c>
      <c r="B181" t="inlineStr">
        <is>
          <t>Denton County</t>
        </is>
      </c>
      <c r="C181" s="2" t="n">
        <v>1</v>
      </c>
      <c r="D181" s="3" t="n">
        <v>201</v>
      </c>
      <c r="E181" s="4">
        <f>D181/1000</f>
        <v/>
      </c>
      <c r="F181" t="inlineStr">
        <is>
          <t>Battery</t>
        </is>
      </c>
    </row>
    <row r="182">
      <c r="A182" t="n">
        <v>181</v>
      </c>
      <c r="B182" t="inlineStr">
        <is>
          <t>Smith County</t>
        </is>
      </c>
      <c r="C182" s="2" t="n">
        <v>1</v>
      </c>
      <c r="D182" s="3" t="n">
        <v>200.9</v>
      </c>
      <c r="E182" s="4">
        <f>D182/1000</f>
        <v/>
      </c>
      <c r="F182" t="inlineStr">
        <is>
          <t>Battery</t>
        </is>
      </c>
    </row>
    <row r="183">
      <c r="A183" t="n">
        <v>182</v>
      </c>
      <c r="B183" t="inlineStr">
        <is>
          <t>Delta County</t>
        </is>
      </c>
      <c r="C183" s="2" t="n">
        <v>3</v>
      </c>
      <c r="D183" s="3" t="n">
        <v>187.3</v>
      </c>
      <c r="E183" s="4">
        <f>D183/1000</f>
        <v/>
      </c>
      <c r="F183" t="inlineStr">
        <is>
          <t>Solar</t>
        </is>
      </c>
    </row>
    <row r="184">
      <c r="A184" t="n">
        <v>183</v>
      </c>
      <c r="B184" t="inlineStr">
        <is>
          <t>Rains County</t>
        </is>
      </c>
      <c r="C184" s="2" t="n">
        <v>1</v>
      </c>
      <c r="D184" s="3" t="n">
        <v>176.1</v>
      </c>
      <c r="E184" s="4">
        <f>D184/1000</f>
        <v/>
      </c>
      <c r="F184" t="inlineStr">
        <is>
          <t>Battery</t>
        </is>
      </c>
    </row>
    <row r="185">
      <c r="A185" t="n">
        <v>184</v>
      </c>
      <c r="B185" t="inlineStr">
        <is>
          <t>Morris County</t>
        </is>
      </c>
      <c r="C185" s="2" t="n">
        <v>1</v>
      </c>
      <c r="D185" s="3" t="n">
        <v>166</v>
      </c>
      <c r="E185" s="4">
        <f>D185/1000</f>
        <v/>
      </c>
      <c r="F185" t="inlineStr">
        <is>
          <t>Gas</t>
        </is>
      </c>
    </row>
    <row r="186">
      <c r="A186" t="n">
        <v>185</v>
      </c>
      <c r="B186" t="inlineStr">
        <is>
          <t>Blanco County</t>
        </is>
      </c>
      <c r="C186" s="2" t="n">
        <v>1</v>
      </c>
      <c r="D186" s="3" t="n">
        <v>153.6</v>
      </c>
      <c r="E186" s="4">
        <f>D186/1000</f>
        <v/>
      </c>
      <c r="F186" t="inlineStr">
        <is>
          <t>Battery</t>
        </is>
      </c>
    </row>
    <row r="187">
      <c r="A187" t="n">
        <v>186</v>
      </c>
      <c r="B187" t="inlineStr">
        <is>
          <t>Burleson County</t>
        </is>
      </c>
      <c r="C187" s="2" t="n">
        <v>1</v>
      </c>
      <c r="D187" s="3" t="n">
        <v>150.4</v>
      </c>
      <c r="E187" s="4">
        <f>D187/1000</f>
        <v/>
      </c>
      <c r="F187" t="inlineStr">
        <is>
          <t>Battery</t>
        </is>
      </c>
    </row>
    <row r="188">
      <c r="A188" t="n">
        <v>187</v>
      </c>
      <c r="B188" t="inlineStr">
        <is>
          <t>Irion County</t>
        </is>
      </c>
      <c r="C188" s="2" t="n">
        <v>1</v>
      </c>
      <c r="D188" s="3" t="n">
        <v>150</v>
      </c>
      <c r="E188" s="4">
        <f>D188/1000</f>
        <v/>
      </c>
      <c r="F188" t="inlineStr">
        <is>
          <t>Battery</t>
        </is>
      </c>
    </row>
    <row r="189">
      <c r="A189" t="n">
        <v>188</v>
      </c>
      <c r="B189" t="inlineStr">
        <is>
          <t>Hays County</t>
        </is>
      </c>
      <c r="C189" s="2" t="n">
        <v>5</v>
      </c>
      <c r="D189" s="3" t="n">
        <v>147.4</v>
      </c>
      <c r="E189" s="4">
        <f>D189/1000</f>
        <v/>
      </c>
      <c r="F189" t="inlineStr">
        <is>
          <t>Battery</t>
        </is>
      </c>
    </row>
    <row r="190">
      <c r="A190" t="n">
        <v>189</v>
      </c>
      <c r="B190" t="inlineStr">
        <is>
          <t>Rockwall County</t>
        </is>
      </c>
      <c r="C190" s="2" t="n">
        <v>1</v>
      </c>
      <c r="D190" s="3" t="n">
        <v>125.3</v>
      </c>
      <c r="E190" s="4">
        <f>D190/1000</f>
        <v/>
      </c>
      <c r="F190" t="inlineStr">
        <is>
          <t>Battery</t>
        </is>
      </c>
    </row>
    <row r="191">
      <c r="A191" t="n">
        <v>190</v>
      </c>
      <c r="B191" t="inlineStr">
        <is>
          <t>Kerr County</t>
        </is>
      </c>
      <c r="C191" s="2" t="n">
        <v>1</v>
      </c>
      <c r="D191" s="3" t="n">
        <v>122.6</v>
      </c>
      <c r="E191" s="4">
        <f>D191/1000</f>
        <v/>
      </c>
      <c r="F191" t="inlineStr">
        <is>
          <t>Battery</t>
        </is>
      </c>
    </row>
    <row r="192">
      <c r="A192" t="n">
        <v>191</v>
      </c>
      <c r="B192" t="inlineStr">
        <is>
          <t>Kendall County</t>
        </is>
      </c>
      <c r="C192" s="2" t="n">
        <v>1</v>
      </c>
      <c r="D192" s="3" t="n">
        <v>100.6</v>
      </c>
      <c r="E192" s="4">
        <f>D192/1000</f>
        <v/>
      </c>
      <c r="F192" t="inlineStr">
        <is>
          <t>Battery</t>
        </is>
      </c>
    </row>
    <row r="193">
      <c r="A193" t="n">
        <v>192</v>
      </c>
      <c r="B193" t="inlineStr">
        <is>
          <t>Coryell County</t>
        </is>
      </c>
      <c r="C193" s="2" t="n">
        <v>1</v>
      </c>
      <c r="D193" s="3" t="n">
        <v>51.6</v>
      </c>
      <c r="E193" s="4">
        <f>D193/1000</f>
        <v/>
      </c>
      <c r="F193" t="inlineStr">
        <is>
          <t>Battery</t>
        </is>
      </c>
    </row>
    <row r="194">
      <c r="A194" s="5" t="inlineStr"/>
      <c r="B194" s="5" t="inlineStr">
        <is>
          <t>TOTAL</t>
        </is>
      </c>
      <c r="C194" s="6">
        <f>SUM(C2:C193)</f>
        <v/>
      </c>
      <c r="D194" s="7">
        <f>SUM(D2:D193)</f>
        <v/>
      </c>
      <c r="E194" s="8">
        <f>D194/1000</f>
        <v/>
      </c>
      <c r="F194" s="5" t="inlineStr"/>
    </row>
    <row r="196">
      <c r="A196" t="inlineStr">
        <is>
          <t>Prepared by Power Grab TX (powergrabtx.com). Source: ERCOT GIS Report, September 2026 (GIS_Report_September_2026.xlsx), county aggregation via ercotqueue.com. Projects are counted in the county ERCOT lists; exact sites are not published.</t>
        </is>
      </c>
    </row>
  </sheetData>
  <autoFilter ref="A1:F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2026-10-14T20:12:04Z</dcterms:created>
  <dcterms:modified xmlns:dcterms="http://purl.org/dc/terms/" xmlns:xsi="http://www.w3.org/2001/XMLSchema-instance" xsi:type="dcterms:W3CDTF">2026-10-14T20:12:04Z</dcterms:modified>
</cp:coreProperties>
</file>